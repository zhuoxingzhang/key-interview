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1_{159F651D-6937-458C-8A9D-85C4FAF5EC36}" xr6:coauthVersionLast="47" xr6:coauthVersionMax="47" xr10:uidLastSave="{00000000-0000-0000-0000-000000000000}"/>
  <bookViews>
    <workbookView xWindow="-110" yWindow="-110" windowWidth="19420" windowHeight="10420" tabRatio="737" xr2:uid="{00000000-000D-0000-FFFF-FFFF00000000}"/>
  </bookViews>
  <sheets>
    <sheet name="scoring shootout" sheetId="4" r:id="rId1"/>
    <sheet name="goalies shootout" sheetId="2" r:id="rId2"/>
    <sheet name="team vs team" sheetId="3" r:id="rId3"/>
    <sheet name="awards coaches" sheetId="5" r:id="rId4"/>
    <sheet name="combined shutouts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6" l="1"/>
  <c r="M6" i="6"/>
  <c r="L6" i="6"/>
  <c r="M14" i="6"/>
  <c r="M6" i="4"/>
  <c r="L6" i="4"/>
  <c r="M13" i="5"/>
  <c r="L13" i="5"/>
  <c r="M6" i="5"/>
  <c r="L6" i="5"/>
  <c r="M16" i="4"/>
  <c r="L16" i="4"/>
  <c r="M13" i="3"/>
  <c r="L13" i="3"/>
  <c r="M14" i="2"/>
  <c r="L14" i="2"/>
  <c r="M6" i="2"/>
  <c r="L6" i="2"/>
</calcChain>
</file>

<file path=xl/sharedStrings.xml><?xml version="1.0" encoding="utf-8"?>
<sst xmlns="http://schemas.openxmlformats.org/spreadsheetml/2006/main" count="172" uniqueCount="24">
  <si>
    <t>Model</t>
  </si>
  <si>
    <t>F1</t>
  </si>
  <si>
    <t>Strategy</t>
  </si>
  <si>
    <t># Questions</t>
  </si>
  <si>
    <t>Recall</t>
  </si>
  <si>
    <t>Precision</t>
  </si>
  <si>
    <t>Time(minutes)</t>
  </si>
  <si>
    <t>DeepSeek-R1-Distill-Llama-70B</t>
  </si>
  <si>
    <t>topdown dfs</t>
  </si>
  <si>
    <t>topdown bfs</t>
  </si>
  <si>
    <t>bottomup dfs</t>
  </si>
  <si>
    <t>bottomup bfs</t>
  </si>
  <si>
    <t>|R|</t>
  </si>
  <si>
    <t>Qwen3-30B-A3B-Thinking-2507</t>
  </si>
  <si>
    <t>Relaxed F1</t>
  </si>
  <si>
    <t>Relaxed Recall</t>
  </si>
  <si>
    <t>Relaxed Precision</t>
  </si>
  <si>
    <t>Aggregation(Non-Minimal)</t>
  </si>
  <si>
    <t>Minimization of freq &gt;= 4</t>
  </si>
  <si>
    <t>Minimization of freq &gt;= 2</t>
  </si>
  <si>
    <t>Minimization of freq &gt;= 2</t>
    <phoneticPr fontId="1" type="noConversion"/>
  </si>
  <si>
    <t>Minimization of freq &gt;= 4</t>
    <phoneticPr fontId="1" type="noConversion"/>
  </si>
  <si>
    <t>Minimization of freq &gt;= 1</t>
    <phoneticPr fontId="1" type="noConversion"/>
  </si>
  <si>
    <t>Minimization of freq &gt;= 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</si>
</sst>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0A47-D75B-45C8-8FC3-1099F42E60BD}">
  <dimension ref="A1:M18"/>
  <sheetViews>
    <sheetView tabSelected="1" workbookViewId="0">
      <pane ySplit="1" topLeftCell="A2" activePane="bottomLeft" state="frozen"/>
      <selection pane="bottomLeft" activeCell="A19" sqref="A19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25.25" style="1" bestFit="1" customWidth="1"/>
    <col min="4" max="7" width="9.1640625" style="1"/>
    <col min="8" max="8" width="10.58203125" style="1" bestFit="1" customWidth="1"/>
    <col min="9" max="9" width="14" style="1" bestFit="1" customWidth="1"/>
    <col min="10" max="10" width="16.83203125" style="1" bestFit="1" customWidth="1"/>
    <col min="11" max="11" width="10.4140625" style="1" customWidth="1"/>
    <col min="12" max="12" width="11.4140625" style="1" bestFit="1" customWidth="1"/>
    <col min="13" max="13" width="14.25" style="1" bestFit="1" customWidth="1"/>
    <col min="14" max="16384" width="9.1640625" style="1"/>
  </cols>
  <sheetData>
    <row r="1" spans="1:13" x14ac:dyDescent="0.3">
      <c r="A1" s="1" t="s">
        <v>0</v>
      </c>
      <c r="B1" s="1" t="s">
        <v>12</v>
      </c>
      <c r="C1" s="1" t="s">
        <v>2</v>
      </c>
      <c r="D1" s="1" t="s">
        <v>1</v>
      </c>
      <c r="E1" s="1" t="s">
        <v>4</v>
      </c>
      <c r="F1" s="1" t="s">
        <v>5</v>
      </c>
      <c r="H1" s="1" t="s">
        <v>14</v>
      </c>
      <c r="I1" s="1" t="s">
        <v>15</v>
      </c>
      <c r="J1" s="1" t="s">
        <v>16</v>
      </c>
      <c r="L1" s="1" t="s">
        <v>3</v>
      </c>
      <c r="M1" s="1" t="s">
        <v>6</v>
      </c>
    </row>
    <row r="2" spans="1:13" x14ac:dyDescent="0.3">
      <c r="A2" s="1" t="s">
        <v>7</v>
      </c>
      <c r="B2" s="1">
        <v>7</v>
      </c>
      <c r="C2" s="1" t="s">
        <v>8</v>
      </c>
      <c r="D2" s="1">
        <v>0</v>
      </c>
      <c r="E2" s="1">
        <v>0</v>
      </c>
      <c r="F2" s="1">
        <v>0</v>
      </c>
      <c r="H2" s="1">
        <v>0</v>
      </c>
      <c r="I2" s="1">
        <v>0</v>
      </c>
      <c r="J2" s="1">
        <v>0.33329999999999999</v>
      </c>
      <c r="L2" s="1">
        <v>30</v>
      </c>
      <c r="M2" s="1">
        <v>53.1813</v>
      </c>
    </row>
    <row r="3" spans="1:13" x14ac:dyDescent="0.3">
      <c r="A3" s="1" t="s">
        <v>7</v>
      </c>
      <c r="B3" s="1">
        <v>7</v>
      </c>
      <c r="C3" s="1" t="s">
        <v>9</v>
      </c>
      <c r="D3" s="1">
        <v>0</v>
      </c>
      <c r="E3" s="1">
        <v>0</v>
      </c>
      <c r="F3" s="1">
        <v>0</v>
      </c>
      <c r="H3" s="1">
        <v>0</v>
      </c>
      <c r="I3" s="1">
        <v>0</v>
      </c>
      <c r="J3" s="1">
        <v>0.75</v>
      </c>
      <c r="L3" s="1">
        <v>18</v>
      </c>
      <c r="M3" s="1">
        <v>31.595300000000002</v>
      </c>
    </row>
    <row r="4" spans="1:13" x14ac:dyDescent="0.3">
      <c r="A4" s="1" t="s">
        <v>7</v>
      </c>
      <c r="B4" s="1">
        <v>7</v>
      </c>
      <c r="C4" s="1" t="s">
        <v>10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0.75</v>
      </c>
      <c r="L4" s="1">
        <v>24</v>
      </c>
      <c r="M4" s="1">
        <v>39.0242</v>
      </c>
    </row>
    <row r="5" spans="1:13" x14ac:dyDescent="0.3">
      <c r="A5" s="1" t="s">
        <v>7</v>
      </c>
      <c r="B5" s="1">
        <v>7</v>
      </c>
      <c r="C5" s="1" t="s">
        <v>11</v>
      </c>
      <c r="D5" s="1">
        <v>0</v>
      </c>
      <c r="E5" s="1">
        <v>0</v>
      </c>
      <c r="F5" s="1">
        <v>0</v>
      </c>
      <c r="H5" s="1">
        <v>0</v>
      </c>
      <c r="I5" s="1">
        <v>1</v>
      </c>
      <c r="J5" s="1">
        <v>0</v>
      </c>
      <c r="L5" s="1">
        <v>93</v>
      </c>
      <c r="M5" s="1">
        <v>165.79249999999999</v>
      </c>
    </row>
    <row r="6" spans="1:13" x14ac:dyDescent="0.3">
      <c r="A6" s="2" t="s">
        <v>7</v>
      </c>
      <c r="B6" s="2">
        <v>7</v>
      </c>
      <c r="C6" s="2" t="s">
        <v>17</v>
      </c>
      <c r="D6" s="2">
        <v>0</v>
      </c>
      <c r="E6" s="2">
        <v>0</v>
      </c>
      <c r="F6" s="2">
        <v>0</v>
      </c>
      <c r="G6" s="2"/>
      <c r="H6" s="2">
        <v>0.5</v>
      </c>
      <c r="I6" s="2">
        <v>1</v>
      </c>
      <c r="J6" s="2">
        <v>0.33329999999999999</v>
      </c>
      <c r="K6" s="2"/>
      <c r="L6" s="2">
        <f>SUM(L2:L5)</f>
        <v>165</v>
      </c>
      <c r="M6" s="2">
        <f>SUM(M2:M5)</f>
        <v>289.5933</v>
      </c>
    </row>
    <row r="7" spans="1:13" x14ac:dyDescent="0.3">
      <c r="A7" s="2"/>
      <c r="B7" s="2"/>
      <c r="C7" s="2" t="s">
        <v>21</v>
      </c>
      <c r="D7" s="2">
        <v>0</v>
      </c>
      <c r="E7" s="2">
        <v>0</v>
      </c>
      <c r="F7" s="2">
        <v>0</v>
      </c>
      <c r="G7" s="2"/>
      <c r="H7" s="2">
        <v>0</v>
      </c>
      <c r="I7" s="2">
        <v>0</v>
      </c>
      <c r="J7" s="2">
        <v>0</v>
      </c>
      <c r="K7" s="2"/>
      <c r="L7" s="2"/>
      <c r="M7" s="2"/>
    </row>
    <row r="8" spans="1:13" x14ac:dyDescent="0.3">
      <c r="A8" s="2"/>
      <c r="B8" s="2"/>
      <c r="C8" s="2" t="s">
        <v>23</v>
      </c>
      <c r="D8" s="2">
        <v>0</v>
      </c>
      <c r="E8" s="2">
        <v>0</v>
      </c>
      <c r="F8" s="2">
        <v>0</v>
      </c>
      <c r="G8" s="2"/>
      <c r="H8" s="2">
        <v>0</v>
      </c>
      <c r="I8" s="2">
        <v>0</v>
      </c>
      <c r="J8" s="2">
        <v>0.66669999999999996</v>
      </c>
      <c r="K8" s="2"/>
      <c r="L8" s="2"/>
      <c r="M8" s="2"/>
    </row>
    <row r="9" spans="1:13" x14ac:dyDescent="0.3">
      <c r="A9" s="2"/>
      <c r="B9" s="2"/>
      <c r="C9" s="2" t="s">
        <v>20</v>
      </c>
      <c r="D9" s="2">
        <v>0</v>
      </c>
      <c r="E9" s="2">
        <v>0</v>
      </c>
      <c r="F9" s="2">
        <v>0</v>
      </c>
      <c r="G9" s="2"/>
      <c r="H9" s="2">
        <v>0</v>
      </c>
      <c r="I9" s="2">
        <v>0</v>
      </c>
      <c r="J9" s="2">
        <v>0.5</v>
      </c>
      <c r="K9" s="2"/>
      <c r="L9" s="2"/>
      <c r="M9" s="2"/>
    </row>
    <row r="10" spans="1:13" x14ac:dyDescent="0.3">
      <c r="C10" s="2" t="s">
        <v>22</v>
      </c>
      <c r="D10" s="2">
        <v>0</v>
      </c>
      <c r="E10" s="2">
        <v>0</v>
      </c>
      <c r="F10" s="2">
        <v>0</v>
      </c>
      <c r="G10" s="2"/>
      <c r="H10" s="2">
        <v>0</v>
      </c>
      <c r="I10" s="2">
        <v>1</v>
      </c>
      <c r="J10" s="2">
        <v>0</v>
      </c>
    </row>
    <row r="12" spans="1:13" x14ac:dyDescent="0.3">
      <c r="A12" s="1" t="s">
        <v>13</v>
      </c>
      <c r="B12" s="1">
        <v>7</v>
      </c>
      <c r="C12" s="1" t="s">
        <v>8</v>
      </c>
      <c r="D12" s="1">
        <v>1</v>
      </c>
      <c r="E12" s="1">
        <v>1</v>
      </c>
      <c r="F12" s="1">
        <v>1</v>
      </c>
      <c r="H12" s="1">
        <v>1</v>
      </c>
      <c r="I12" s="1">
        <v>1</v>
      </c>
      <c r="J12" s="1">
        <v>1</v>
      </c>
      <c r="L12" s="1">
        <v>8</v>
      </c>
      <c r="M12" s="1">
        <v>14.721500000000001</v>
      </c>
    </row>
    <row r="13" spans="1:13" x14ac:dyDescent="0.3">
      <c r="A13" s="1" t="s">
        <v>13</v>
      </c>
      <c r="B13" s="1">
        <v>7</v>
      </c>
      <c r="C13" s="1" t="s">
        <v>9</v>
      </c>
      <c r="D13" s="1">
        <v>1</v>
      </c>
      <c r="E13" s="1">
        <v>1</v>
      </c>
      <c r="F13" s="1">
        <v>1</v>
      </c>
      <c r="H13" s="1">
        <v>1</v>
      </c>
      <c r="I13" s="1">
        <v>1</v>
      </c>
      <c r="J13" s="1">
        <v>1</v>
      </c>
      <c r="L13" s="1">
        <v>19</v>
      </c>
      <c r="M13" s="1">
        <v>44.450299999999999</v>
      </c>
    </row>
    <row r="14" spans="1:13" x14ac:dyDescent="0.3">
      <c r="A14" s="1" t="s">
        <v>13</v>
      </c>
      <c r="B14" s="1">
        <v>7</v>
      </c>
      <c r="C14" s="1" t="s">
        <v>10</v>
      </c>
      <c r="D14" s="1">
        <v>1</v>
      </c>
      <c r="E14" s="1">
        <v>1</v>
      </c>
      <c r="F14" s="1">
        <v>1</v>
      </c>
      <c r="H14" s="1">
        <v>1</v>
      </c>
      <c r="I14" s="1">
        <v>1</v>
      </c>
      <c r="J14" s="1">
        <v>1</v>
      </c>
      <c r="L14" s="1">
        <v>10</v>
      </c>
      <c r="M14" s="1">
        <v>14.4871</v>
      </c>
    </row>
    <row r="15" spans="1:13" x14ac:dyDescent="0.3">
      <c r="A15" s="1" t="s">
        <v>13</v>
      </c>
      <c r="B15" s="1">
        <v>7</v>
      </c>
      <c r="C15" s="1" t="s">
        <v>11</v>
      </c>
      <c r="D15" s="1">
        <v>1</v>
      </c>
      <c r="E15" s="1">
        <v>1</v>
      </c>
      <c r="F15" s="1">
        <v>1</v>
      </c>
      <c r="H15" s="1">
        <v>1</v>
      </c>
      <c r="I15" s="1">
        <v>1</v>
      </c>
      <c r="J15" s="1">
        <v>1</v>
      </c>
      <c r="L15" s="1">
        <v>113</v>
      </c>
      <c r="M15" s="1">
        <v>199.96629999999999</v>
      </c>
    </row>
    <row r="16" spans="1:13" x14ac:dyDescent="0.3">
      <c r="A16" s="2" t="s">
        <v>13</v>
      </c>
      <c r="B16" s="2">
        <v>7</v>
      </c>
      <c r="C16" s="2" t="s">
        <v>17</v>
      </c>
      <c r="D16" s="2">
        <v>1</v>
      </c>
      <c r="E16" s="2">
        <v>1</v>
      </c>
      <c r="F16" s="2">
        <v>1</v>
      </c>
      <c r="G16" s="2"/>
      <c r="H16" s="2">
        <v>1</v>
      </c>
      <c r="I16" s="2">
        <v>1</v>
      </c>
      <c r="J16" s="2">
        <v>1</v>
      </c>
      <c r="K16" s="2"/>
      <c r="L16" s="2">
        <f>SUM(L12:L15)</f>
        <v>150</v>
      </c>
      <c r="M16" s="2">
        <f>SUM(M12:M15)</f>
        <v>273.62520000000001</v>
      </c>
    </row>
    <row r="17" spans="3:10" x14ac:dyDescent="0.3">
      <c r="C17" s="2" t="s">
        <v>18</v>
      </c>
      <c r="D17" s="2">
        <v>1</v>
      </c>
      <c r="E17" s="2">
        <v>1</v>
      </c>
      <c r="F17" s="2">
        <v>1</v>
      </c>
      <c r="G17" s="2"/>
      <c r="H17" s="2">
        <v>1</v>
      </c>
      <c r="I17" s="2">
        <v>1</v>
      </c>
      <c r="J17" s="2">
        <v>1</v>
      </c>
    </row>
    <row r="18" spans="3:10" x14ac:dyDescent="0.3">
      <c r="C18" s="2"/>
      <c r="D18" s="2"/>
      <c r="E18" s="2"/>
      <c r="F18" s="2"/>
      <c r="G18" s="2"/>
      <c r="H18" s="2"/>
      <c r="I18" s="2"/>
      <c r="J18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E806-3EB8-4145-A57B-904AD2F281D9}">
  <dimension ref="A1:M16"/>
  <sheetViews>
    <sheetView workbookViewId="0">
      <pane ySplit="1" topLeftCell="A2" activePane="bottomLeft" state="frozen"/>
      <selection pane="bottomLeft" activeCell="G20" sqref="G20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25.25" style="1" bestFit="1" customWidth="1"/>
    <col min="4" max="7" width="9.1640625" style="1"/>
    <col min="8" max="8" width="10.58203125" style="1" bestFit="1" customWidth="1"/>
    <col min="9" max="9" width="14" style="1" bestFit="1" customWidth="1"/>
    <col min="10" max="10" width="16.83203125" style="1" bestFit="1" customWidth="1"/>
    <col min="11" max="11" width="10.4140625" style="1" customWidth="1"/>
    <col min="12" max="12" width="11.4140625" style="1" bestFit="1" customWidth="1"/>
    <col min="13" max="13" width="14.25" style="1" bestFit="1" customWidth="1"/>
    <col min="14" max="16384" width="9.1640625" style="1"/>
  </cols>
  <sheetData>
    <row r="1" spans="1:13" x14ac:dyDescent="0.3">
      <c r="A1" s="1" t="s">
        <v>0</v>
      </c>
      <c r="B1" s="1" t="s">
        <v>12</v>
      </c>
      <c r="C1" s="1" t="s">
        <v>2</v>
      </c>
      <c r="D1" s="1" t="s">
        <v>1</v>
      </c>
      <c r="E1" s="1" t="s">
        <v>4</v>
      </c>
      <c r="F1" s="1" t="s">
        <v>5</v>
      </c>
      <c r="H1" s="1" t="s">
        <v>14</v>
      </c>
      <c r="I1" s="1" t="s">
        <v>15</v>
      </c>
      <c r="J1" s="1" t="s">
        <v>16</v>
      </c>
      <c r="L1" s="1" t="s">
        <v>3</v>
      </c>
      <c r="M1" s="1" t="s">
        <v>6</v>
      </c>
    </row>
    <row r="2" spans="1:13" x14ac:dyDescent="0.3">
      <c r="A2" s="1" t="s">
        <v>7</v>
      </c>
      <c r="B2" s="1">
        <v>8</v>
      </c>
      <c r="C2" s="1" t="s">
        <v>8</v>
      </c>
      <c r="D2" s="1">
        <v>0.5</v>
      </c>
      <c r="E2" s="1">
        <v>1</v>
      </c>
      <c r="F2" s="1">
        <v>0.33329999999999999</v>
      </c>
      <c r="H2" s="1">
        <v>0.5</v>
      </c>
      <c r="I2" s="1">
        <v>1</v>
      </c>
      <c r="J2" s="1">
        <v>0.33329999999999999</v>
      </c>
      <c r="L2" s="1">
        <v>99</v>
      </c>
      <c r="M2" s="1">
        <v>155.61199999999999</v>
      </c>
    </row>
    <row r="3" spans="1:13" x14ac:dyDescent="0.3">
      <c r="A3" s="1" t="s">
        <v>7</v>
      </c>
      <c r="B3" s="1">
        <v>8</v>
      </c>
      <c r="C3" s="1" t="s">
        <v>9</v>
      </c>
      <c r="D3" s="1">
        <v>1</v>
      </c>
      <c r="E3" s="1">
        <v>1</v>
      </c>
      <c r="F3" s="1">
        <v>1</v>
      </c>
      <c r="H3" s="1">
        <v>1</v>
      </c>
      <c r="I3" s="1">
        <v>1</v>
      </c>
      <c r="J3" s="1">
        <v>1</v>
      </c>
      <c r="L3" s="1">
        <v>35</v>
      </c>
      <c r="M3" s="1">
        <v>49.465899999999998</v>
      </c>
    </row>
    <row r="4" spans="1:13" x14ac:dyDescent="0.3">
      <c r="A4" s="1" t="s">
        <v>7</v>
      </c>
      <c r="B4" s="1">
        <v>8</v>
      </c>
      <c r="C4" s="1" t="s">
        <v>10</v>
      </c>
      <c r="D4" s="1">
        <v>1</v>
      </c>
      <c r="E4" s="1">
        <v>1</v>
      </c>
      <c r="F4" s="1">
        <v>1</v>
      </c>
      <c r="H4" s="1">
        <v>1</v>
      </c>
      <c r="I4" s="1">
        <v>1</v>
      </c>
      <c r="J4" s="1">
        <v>1</v>
      </c>
      <c r="L4" s="1">
        <v>27</v>
      </c>
      <c r="M4" s="1">
        <v>39.921300000000002</v>
      </c>
    </row>
    <row r="5" spans="1:13" x14ac:dyDescent="0.3">
      <c r="A5" s="1" t="s">
        <v>7</v>
      </c>
      <c r="B5" s="1">
        <v>8</v>
      </c>
      <c r="C5" s="1" t="s">
        <v>11</v>
      </c>
      <c r="D5" s="1">
        <v>0.5</v>
      </c>
      <c r="E5" s="1">
        <v>1</v>
      </c>
      <c r="F5" s="1">
        <v>0.33329999999999999</v>
      </c>
      <c r="H5" s="1">
        <v>0.5</v>
      </c>
      <c r="I5" s="1">
        <v>1</v>
      </c>
      <c r="J5" s="1">
        <v>0.33329999999999999</v>
      </c>
      <c r="L5" s="1">
        <v>195</v>
      </c>
      <c r="M5" s="1">
        <v>279.94209999999998</v>
      </c>
    </row>
    <row r="6" spans="1:13" x14ac:dyDescent="0.3">
      <c r="A6" s="2" t="s">
        <v>7</v>
      </c>
      <c r="B6" s="2">
        <v>8</v>
      </c>
      <c r="C6" s="2" t="s">
        <v>17</v>
      </c>
      <c r="D6" s="2">
        <v>0.5</v>
      </c>
      <c r="E6" s="2">
        <v>1</v>
      </c>
      <c r="F6" s="2">
        <v>0.33329999999999999</v>
      </c>
      <c r="G6" s="2"/>
      <c r="H6" s="2">
        <v>0.5</v>
      </c>
      <c r="I6" s="2">
        <v>1</v>
      </c>
      <c r="J6" s="2">
        <v>0.33329999999999999</v>
      </c>
      <c r="K6" s="2"/>
      <c r="L6" s="2">
        <f>SUM(L2:L5)</f>
        <v>356</v>
      </c>
      <c r="M6" s="2">
        <f>SUM(M2:M5)</f>
        <v>524.94129999999996</v>
      </c>
    </row>
    <row r="7" spans="1:13" x14ac:dyDescent="0.3">
      <c r="C7" s="2" t="s">
        <v>18</v>
      </c>
      <c r="D7" s="2">
        <v>1</v>
      </c>
      <c r="E7" s="2">
        <v>1</v>
      </c>
      <c r="F7" s="2">
        <v>1</v>
      </c>
      <c r="G7" s="2"/>
      <c r="H7" s="2">
        <v>1</v>
      </c>
      <c r="I7" s="2">
        <v>1</v>
      </c>
      <c r="J7" s="2">
        <v>1</v>
      </c>
    </row>
    <row r="8" spans="1:13" x14ac:dyDescent="0.3">
      <c r="C8" s="2" t="s">
        <v>19</v>
      </c>
      <c r="D8" s="2">
        <v>0.5</v>
      </c>
      <c r="E8" s="2">
        <v>1</v>
      </c>
      <c r="F8" s="2">
        <v>0.33329999999999999</v>
      </c>
      <c r="G8" s="2"/>
      <c r="H8" s="2">
        <v>0.5</v>
      </c>
      <c r="I8" s="2">
        <v>1</v>
      </c>
      <c r="J8" s="2">
        <v>0.33329999999999999</v>
      </c>
    </row>
    <row r="10" spans="1:13" x14ac:dyDescent="0.3">
      <c r="A10" s="1" t="s">
        <v>13</v>
      </c>
      <c r="B10" s="1">
        <v>8</v>
      </c>
      <c r="C10" s="1" t="s">
        <v>8</v>
      </c>
      <c r="D10" s="1">
        <v>0.66669999999999996</v>
      </c>
      <c r="E10" s="1">
        <v>1</v>
      </c>
      <c r="F10" s="1">
        <v>0.5</v>
      </c>
      <c r="H10" s="1">
        <v>0.66669999999999996</v>
      </c>
      <c r="I10" s="1">
        <v>1</v>
      </c>
      <c r="J10" s="1">
        <v>0.5</v>
      </c>
      <c r="L10" s="1">
        <v>99</v>
      </c>
      <c r="M10" s="1">
        <v>234.5523</v>
      </c>
    </row>
    <row r="11" spans="1:13" x14ac:dyDescent="0.3">
      <c r="A11" s="1" t="s">
        <v>13</v>
      </c>
      <c r="B11" s="1">
        <v>8</v>
      </c>
      <c r="C11" s="1" t="s">
        <v>9</v>
      </c>
      <c r="D11" s="1">
        <v>1</v>
      </c>
      <c r="E11" s="1">
        <v>1</v>
      </c>
      <c r="F11" s="1">
        <v>1</v>
      </c>
      <c r="H11" s="1">
        <v>1</v>
      </c>
      <c r="I11" s="1">
        <v>1</v>
      </c>
      <c r="J11" s="1">
        <v>1</v>
      </c>
      <c r="L11" s="1">
        <v>35</v>
      </c>
      <c r="M11" s="1">
        <v>161.11449999999999</v>
      </c>
    </row>
    <row r="12" spans="1:13" x14ac:dyDescent="0.3">
      <c r="A12" s="1" t="s">
        <v>13</v>
      </c>
      <c r="B12" s="1">
        <v>8</v>
      </c>
      <c r="C12" s="1" t="s">
        <v>10</v>
      </c>
      <c r="D12" s="1">
        <v>1</v>
      </c>
      <c r="E12" s="1">
        <v>1</v>
      </c>
      <c r="F12" s="1">
        <v>1</v>
      </c>
      <c r="H12" s="1">
        <v>1</v>
      </c>
      <c r="I12" s="1">
        <v>1</v>
      </c>
      <c r="J12" s="1">
        <v>1</v>
      </c>
      <c r="L12" s="1">
        <v>42</v>
      </c>
      <c r="M12" s="1">
        <v>174.85509999999999</v>
      </c>
    </row>
    <row r="13" spans="1:13" x14ac:dyDescent="0.3">
      <c r="A13" s="1" t="s">
        <v>13</v>
      </c>
      <c r="B13" s="1">
        <v>8</v>
      </c>
      <c r="C13" s="1" t="s">
        <v>11</v>
      </c>
      <c r="D13" s="1">
        <v>0.66669999999999996</v>
      </c>
      <c r="E13" s="1">
        <v>1</v>
      </c>
      <c r="F13" s="1">
        <v>0.5</v>
      </c>
      <c r="H13" s="1">
        <v>0.66669999999999996</v>
      </c>
      <c r="I13" s="1">
        <v>1</v>
      </c>
      <c r="J13" s="1">
        <v>0.5</v>
      </c>
      <c r="L13" s="1">
        <v>222</v>
      </c>
      <c r="M13" s="1">
        <v>493.81779999999998</v>
      </c>
    </row>
    <row r="14" spans="1:13" x14ac:dyDescent="0.3">
      <c r="A14" s="2" t="s">
        <v>13</v>
      </c>
      <c r="B14" s="2">
        <v>8</v>
      </c>
      <c r="C14" s="2" t="s">
        <v>17</v>
      </c>
      <c r="D14" s="2">
        <v>0.66669999999999996</v>
      </c>
      <c r="E14" s="2">
        <v>1</v>
      </c>
      <c r="F14" s="2">
        <v>0.5</v>
      </c>
      <c r="G14" s="2"/>
      <c r="H14" s="2">
        <v>0.66669999999999996</v>
      </c>
      <c r="I14" s="2">
        <v>1</v>
      </c>
      <c r="J14" s="2">
        <v>0.5</v>
      </c>
      <c r="K14" s="2"/>
      <c r="L14" s="2">
        <f>SUM(L10:L13)</f>
        <v>398</v>
      </c>
      <c r="M14" s="2">
        <f>SUM(M10:M13)</f>
        <v>1064.3397</v>
      </c>
    </row>
    <row r="15" spans="1:13" x14ac:dyDescent="0.3">
      <c r="C15" s="2" t="s">
        <v>18</v>
      </c>
      <c r="D15" s="2">
        <v>1</v>
      </c>
      <c r="E15" s="2">
        <v>1</v>
      </c>
      <c r="F15" s="2">
        <v>1</v>
      </c>
      <c r="G15" s="2"/>
      <c r="H15" s="2">
        <v>1</v>
      </c>
      <c r="I15" s="2">
        <v>1</v>
      </c>
      <c r="J15" s="2">
        <v>1</v>
      </c>
    </row>
    <row r="16" spans="1:13" x14ac:dyDescent="0.3">
      <c r="C16" s="2" t="s">
        <v>19</v>
      </c>
      <c r="D16" s="2">
        <v>0.66669999999999996</v>
      </c>
      <c r="E16" s="2">
        <v>1</v>
      </c>
      <c r="F16" s="2">
        <v>0.5</v>
      </c>
      <c r="G16" s="2"/>
      <c r="H16" s="2">
        <v>0.66669999999999996</v>
      </c>
      <c r="I16" s="2">
        <v>1</v>
      </c>
      <c r="J16" s="2">
        <v>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AA3A-3028-44B3-99AB-6209220EE4DE}">
  <dimension ref="A1:M15"/>
  <sheetViews>
    <sheetView workbookViewId="0">
      <pane ySplit="1" topLeftCell="A2" activePane="bottomLeft" state="frozen"/>
      <selection pane="bottomLeft" activeCell="A9" sqref="A9:XFD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25.25" style="1" bestFit="1" customWidth="1"/>
    <col min="4" max="7" width="9.1640625" style="1"/>
    <col min="8" max="8" width="10.58203125" style="1" bestFit="1" customWidth="1"/>
    <col min="9" max="9" width="14" style="1" bestFit="1" customWidth="1"/>
    <col min="10" max="10" width="16.83203125" style="1" bestFit="1" customWidth="1"/>
    <col min="11" max="11" width="10.4140625" style="1" customWidth="1"/>
    <col min="12" max="12" width="11.4140625" style="1" bestFit="1" customWidth="1"/>
    <col min="13" max="13" width="14.25" style="1" bestFit="1" customWidth="1"/>
    <col min="14" max="16384" width="9.1640625" style="1"/>
  </cols>
  <sheetData>
    <row r="1" spans="1:13" x14ac:dyDescent="0.3">
      <c r="A1" s="1" t="s">
        <v>0</v>
      </c>
      <c r="B1" s="1" t="s">
        <v>12</v>
      </c>
      <c r="C1" s="1" t="s">
        <v>2</v>
      </c>
      <c r="D1" s="1" t="s">
        <v>1</v>
      </c>
      <c r="E1" s="1" t="s">
        <v>4</v>
      </c>
      <c r="F1" s="1" t="s">
        <v>5</v>
      </c>
      <c r="H1" s="1" t="s">
        <v>14</v>
      </c>
      <c r="I1" s="1" t="s">
        <v>15</v>
      </c>
      <c r="J1" s="1" t="s">
        <v>16</v>
      </c>
      <c r="L1" s="1" t="s">
        <v>3</v>
      </c>
      <c r="M1" s="1" t="s">
        <v>6</v>
      </c>
    </row>
    <row r="2" spans="1:13" x14ac:dyDescent="0.3">
      <c r="A2" s="1" t="s">
        <v>7</v>
      </c>
      <c r="B2" s="1">
        <v>8</v>
      </c>
      <c r="C2" s="1" t="s">
        <v>8</v>
      </c>
      <c r="D2" s="1">
        <v>0.5</v>
      </c>
      <c r="E2" s="1">
        <v>1</v>
      </c>
      <c r="F2" s="1">
        <v>0.33329999999999999</v>
      </c>
      <c r="H2" s="1">
        <v>0.5</v>
      </c>
      <c r="I2" s="1">
        <v>1</v>
      </c>
      <c r="J2" s="1">
        <v>0.33329999999999999</v>
      </c>
      <c r="L2" s="1">
        <v>65</v>
      </c>
      <c r="M2" s="1">
        <v>101.8023</v>
      </c>
    </row>
    <row r="3" spans="1:13" x14ac:dyDescent="0.3">
      <c r="A3" s="1" t="s">
        <v>7</v>
      </c>
      <c r="B3" s="1">
        <v>8</v>
      </c>
      <c r="C3" s="1" t="s">
        <v>9</v>
      </c>
      <c r="D3" s="1">
        <v>0</v>
      </c>
      <c r="E3" s="1">
        <v>0</v>
      </c>
      <c r="F3" s="1">
        <v>0</v>
      </c>
      <c r="H3" s="1">
        <v>0</v>
      </c>
      <c r="I3" s="1">
        <v>0</v>
      </c>
      <c r="J3" s="1">
        <v>1</v>
      </c>
      <c r="L3" s="1">
        <v>19</v>
      </c>
      <c r="M3" s="1">
        <v>29.932099999999998</v>
      </c>
    </row>
    <row r="4" spans="1:13" x14ac:dyDescent="0.3">
      <c r="A4" s="1" t="s">
        <v>7</v>
      </c>
      <c r="B4" s="1">
        <v>8</v>
      </c>
      <c r="C4" s="1" t="s">
        <v>10</v>
      </c>
      <c r="D4" s="1">
        <v>0</v>
      </c>
      <c r="E4" s="1">
        <v>0</v>
      </c>
      <c r="F4" s="1">
        <v>0</v>
      </c>
      <c r="H4" s="1">
        <v>0</v>
      </c>
      <c r="I4" s="1">
        <v>0</v>
      </c>
      <c r="J4" s="1">
        <v>1</v>
      </c>
      <c r="L4" s="1">
        <v>20</v>
      </c>
      <c r="M4" s="1">
        <v>30.445799999999998</v>
      </c>
    </row>
    <row r="5" spans="1:13" x14ac:dyDescent="0.3">
      <c r="A5" s="1" t="s">
        <v>7</v>
      </c>
      <c r="B5" s="1">
        <v>8</v>
      </c>
      <c r="C5" s="1" t="s">
        <v>11</v>
      </c>
      <c r="D5" s="1">
        <v>0.5</v>
      </c>
      <c r="E5" s="1">
        <v>1</v>
      </c>
      <c r="F5" s="1">
        <v>0.33329999999999999</v>
      </c>
      <c r="H5" s="1">
        <v>0.5</v>
      </c>
      <c r="I5" s="1">
        <v>1</v>
      </c>
      <c r="J5" s="1">
        <v>0.33329999999999999</v>
      </c>
      <c r="L5" s="1">
        <v>217</v>
      </c>
      <c r="M5" s="1">
        <v>308.26159999999999</v>
      </c>
    </row>
    <row r="6" spans="1:13" x14ac:dyDescent="0.3">
      <c r="A6" s="2" t="s">
        <v>7</v>
      </c>
      <c r="B6" s="2">
        <v>8</v>
      </c>
      <c r="C6" s="2" t="s">
        <v>17</v>
      </c>
      <c r="D6" s="2">
        <v>0.2</v>
      </c>
      <c r="E6" s="2">
        <v>1</v>
      </c>
      <c r="F6" s="2">
        <v>0.1111</v>
      </c>
      <c r="G6" s="2"/>
      <c r="H6" s="2">
        <v>0.875</v>
      </c>
      <c r="I6" s="2">
        <v>1</v>
      </c>
      <c r="J6" s="2">
        <v>0.77780000000000005</v>
      </c>
      <c r="K6" s="2"/>
      <c r="L6" s="2"/>
      <c r="M6" s="2"/>
    </row>
    <row r="7" spans="1:13" x14ac:dyDescent="0.3">
      <c r="C7" s="2" t="s">
        <v>19</v>
      </c>
      <c r="D7" s="2">
        <v>0.5</v>
      </c>
      <c r="E7" s="2">
        <v>1</v>
      </c>
      <c r="F7" s="2">
        <v>0.33329999999999999</v>
      </c>
      <c r="G7" s="2"/>
      <c r="H7" s="2">
        <v>0.5</v>
      </c>
      <c r="I7" s="2">
        <v>1</v>
      </c>
      <c r="J7" s="2">
        <v>0.33329999999999999</v>
      </c>
    </row>
    <row r="9" spans="1:13" x14ac:dyDescent="0.3">
      <c r="A9" s="1" t="s">
        <v>13</v>
      </c>
      <c r="B9" s="1">
        <v>8</v>
      </c>
      <c r="C9" s="1" t="s">
        <v>8</v>
      </c>
      <c r="D9" s="1">
        <v>1</v>
      </c>
      <c r="E9" s="1">
        <v>1</v>
      </c>
      <c r="F9" s="1">
        <v>1</v>
      </c>
      <c r="H9" s="1">
        <v>1</v>
      </c>
      <c r="I9" s="1">
        <v>1</v>
      </c>
      <c r="J9" s="1">
        <v>1</v>
      </c>
      <c r="L9" s="1">
        <v>73</v>
      </c>
      <c r="M9" s="1">
        <v>180.60650000000001</v>
      </c>
    </row>
    <row r="10" spans="1:13" x14ac:dyDescent="0.3">
      <c r="A10" s="1" t="s">
        <v>13</v>
      </c>
      <c r="B10" s="1">
        <v>8</v>
      </c>
      <c r="C10" s="1" t="s">
        <v>9</v>
      </c>
      <c r="D10" s="1">
        <v>1</v>
      </c>
      <c r="E10" s="1">
        <v>1</v>
      </c>
      <c r="F10" s="1">
        <v>1</v>
      </c>
      <c r="H10" s="1">
        <v>1</v>
      </c>
      <c r="I10" s="1">
        <v>1</v>
      </c>
      <c r="J10" s="1">
        <v>1</v>
      </c>
      <c r="L10" s="1">
        <v>35</v>
      </c>
      <c r="M10" s="1">
        <v>105.1994</v>
      </c>
    </row>
    <row r="11" spans="1:13" x14ac:dyDescent="0.3">
      <c r="A11" s="1" t="s">
        <v>13</v>
      </c>
      <c r="B11" s="1">
        <v>8</v>
      </c>
      <c r="C11" s="1" t="s">
        <v>10</v>
      </c>
      <c r="D11" s="1">
        <v>1</v>
      </c>
      <c r="E11" s="1">
        <v>1</v>
      </c>
      <c r="F11" s="1">
        <v>1</v>
      </c>
      <c r="H11" s="1">
        <v>1</v>
      </c>
      <c r="I11" s="1">
        <v>1</v>
      </c>
      <c r="J11" s="1">
        <v>1</v>
      </c>
      <c r="L11" s="1">
        <v>41</v>
      </c>
      <c r="M11" s="1">
        <v>114.5907</v>
      </c>
    </row>
    <row r="12" spans="1:13" x14ac:dyDescent="0.3">
      <c r="A12" s="1" t="s">
        <v>13</v>
      </c>
      <c r="B12" s="1">
        <v>8</v>
      </c>
      <c r="C12" s="1" t="s">
        <v>11</v>
      </c>
      <c r="D12" s="1">
        <v>1</v>
      </c>
      <c r="E12" s="1">
        <v>1</v>
      </c>
      <c r="F12" s="1">
        <v>1</v>
      </c>
      <c r="H12" s="1">
        <v>1</v>
      </c>
      <c r="I12" s="1">
        <v>1</v>
      </c>
      <c r="J12" s="1">
        <v>1</v>
      </c>
      <c r="L12" s="1">
        <v>225</v>
      </c>
      <c r="M12" s="1">
        <v>534.24069999999995</v>
      </c>
    </row>
    <row r="13" spans="1:13" x14ac:dyDescent="0.3">
      <c r="A13" s="2" t="s">
        <v>13</v>
      </c>
      <c r="B13" s="2">
        <v>8</v>
      </c>
      <c r="C13" s="2" t="s">
        <v>17</v>
      </c>
      <c r="D13" s="2">
        <v>1</v>
      </c>
      <c r="E13" s="2">
        <v>1</v>
      </c>
      <c r="F13" s="2">
        <v>1</v>
      </c>
      <c r="G13" s="2"/>
      <c r="H13" s="2">
        <v>1</v>
      </c>
      <c r="I13" s="2">
        <v>1</v>
      </c>
      <c r="J13" s="2">
        <v>1</v>
      </c>
      <c r="K13" s="2"/>
      <c r="L13" s="2">
        <f>SUM(L9:L12)</f>
        <v>374</v>
      </c>
      <c r="M13" s="2">
        <f>SUM(M9:M12)</f>
        <v>934.63729999999998</v>
      </c>
    </row>
    <row r="14" spans="1:13" x14ac:dyDescent="0.3">
      <c r="C14" s="2" t="s">
        <v>18</v>
      </c>
      <c r="D14" s="2">
        <v>1</v>
      </c>
      <c r="E14" s="2">
        <v>1</v>
      </c>
      <c r="F14" s="2">
        <v>1</v>
      </c>
      <c r="G14" s="2"/>
      <c r="H14" s="2">
        <v>1</v>
      </c>
      <c r="I14" s="2">
        <v>1</v>
      </c>
      <c r="J14" s="2">
        <v>1</v>
      </c>
    </row>
    <row r="15" spans="1:13" x14ac:dyDescent="0.3">
      <c r="C15" s="2"/>
      <c r="D15" s="2"/>
      <c r="E15" s="2"/>
      <c r="F15" s="2"/>
      <c r="G15" s="2"/>
      <c r="H15" s="2"/>
      <c r="I15" s="2"/>
      <c r="J15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54D2-DEF2-4512-B8EB-7364CD36BFF3}">
  <dimension ref="A1:M15"/>
  <sheetViews>
    <sheetView topLeftCell="B1" workbookViewId="0">
      <pane ySplit="1" topLeftCell="A2" activePane="bottomLeft" state="frozen"/>
      <selection pane="bottomLeft" activeCell="L14" sqref="L14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25.25" style="1" bestFit="1" customWidth="1"/>
    <col min="4" max="7" width="9.1640625" style="1"/>
    <col min="8" max="8" width="10.58203125" style="1" bestFit="1" customWidth="1"/>
    <col min="9" max="9" width="14" style="1" bestFit="1" customWidth="1"/>
    <col min="10" max="10" width="16.83203125" style="1" bestFit="1" customWidth="1"/>
    <col min="11" max="11" width="10.4140625" style="1" customWidth="1"/>
    <col min="12" max="12" width="11.4140625" style="1" bestFit="1" customWidth="1"/>
    <col min="13" max="13" width="14.25" style="1" bestFit="1" customWidth="1"/>
    <col min="14" max="16384" width="9.1640625" style="1"/>
  </cols>
  <sheetData>
    <row r="1" spans="1:13" x14ac:dyDescent="0.3">
      <c r="A1" s="1" t="s">
        <v>0</v>
      </c>
      <c r="B1" s="1" t="s">
        <v>12</v>
      </c>
      <c r="C1" s="1" t="s">
        <v>2</v>
      </c>
      <c r="D1" s="1" t="s">
        <v>1</v>
      </c>
      <c r="E1" s="1" t="s">
        <v>4</v>
      </c>
      <c r="F1" s="1" t="s">
        <v>5</v>
      </c>
      <c r="H1" s="1" t="s">
        <v>14</v>
      </c>
      <c r="I1" s="1" t="s">
        <v>15</v>
      </c>
      <c r="J1" s="1" t="s">
        <v>16</v>
      </c>
      <c r="L1" s="1" t="s">
        <v>3</v>
      </c>
      <c r="M1" s="1" t="s">
        <v>6</v>
      </c>
    </row>
    <row r="2" spans="1:13" x14ac:dyDescent="0.3">
      <c r="A2" s="1" t="s">
        <v>7</v>
      </c>
      <c r="B2" s="1">
        <v>8</v>
      </c>
      <c r="C2" s="1" t="s">
        <v>8</v>
      </c>
      <c r="D2" s="1">
        <v>0.5</v>
      </c>
      <c r="E2" s="1">
        <v>1</v>
      </c>
      <c r="F2" s="1">
        <v>0.33329999999999999</v>
      </c>
      <c r="H2" s="1">
        <v>0.5</v>
      </c>
      <c r="I2" s="1">
        <v>1</v>
      </c>
      <c r="J2" s="1">
        <v>0.33329999999999999</v>
      </c>
      <c r="L2" s="1">
        <v>11</v>
      </c>
      <c r="M2" s="1">
        <v>12.4718</v>
      </c>
    </row>
    <row r="3" spans="1:13" x14ac:dyDescent="0.3">
      <c r="A3" s="1" t="s">
        <v>7</v>
      </c>
      <c r="B3" s="1">
        <v>8</v>
      </c>
      <c r="C3" s="1" t="s">
        <v>9</v>
      </c>
      <c r="D3" s="1">
        <v>0.5</v>
      </c>
      <c r="E3" s="1">
        <v>1</v>
      </c>
      <c r="F3" s="1">
        <v>0.33329999999999999</v>
      </c>
      <c r="H3" s="1">
        <v>0.5</v>
      </c>
      <c r="I3" s="1">
        <v>1</v>
      </c>
      <c r="J3" s="1">
        <v>0.33329999999999999</v>
      </c>
      <c r="L3" s="1">
        <v>10</v>
      </c>
      <c r="M3" s="1">
        <v>11.3126</v>
      </c>
    </row>
    <row r="4" spans="1:13" x14ac:dyDescent="0.3">
      <c r="A4" s="1" t="s">
        <v>7</v>
      </c>
      <c r="B4" s="1">
        <v>8</v>
      </c>
      <c r="C4" s="1" t="s">
        <v>10</v>
      </c>
      <c r="D4" s="1">
        <v>0.5</v>
      </c>
      <c r="E4" s="1">
        <v>1</v>
      </c>
      <c r="F4" s="1">
        <v>0.33329999999999999</v>
      </c>
      <c r="H4" s="1">
        <v>0.5</v>
      </c>
      <c r="I4" s="1">
        <v>1</v>
      </c>
      <c r="J4" s="1">
        <v>0.33329999999999999</v>
      </c>
      <c r="L4" s="1">
        <v>11</v>
      </c>
      <c r="M4" s="1">
        <v>12.598599999999999</v>
      </c>
    </row>
    <row r="5" spans="1:13" x14ac:dyDescent="0.3">
      <c r="A5" s="1" t="s">
        <v>7</v>
      </c>
      <c r="B5" s="1">
        <v>8</v>
      </c>
      <c r="C5" s="1" t="s">
        <v>11</v>
      </c>
      <c r="D5" s="1">
        <v>0.5</v>
      </c>
      <c r="E5" s="1">
        <v>1</v>
      </c>
      <c r="F5" s="1">
        <v>0.33329999999999999</v>
      </c>
      <c r="H5" s="1">
        <v>0.5</v>
      </c>
      <c r="I5" s="1">
        <v>1</v>
      </c>
      <c r="J5" s="1">
        <v>0.33329999999999999</v>
      </c>
      <c r="L5" s="1">
        <v>28</v>
      </c>
      <c r="M5" s="1">
        <v>49.521599999999999</v>
      </c>
    </row>
    <row r="6" spans="1:13" x14ac:dyDescent="0.3">
      <c r="A6" s="2" t="s">
        <v>7</v>
      </c>
      <c r="B6" s="2">
        <v>8</v>
      </c>
      <c r="C6" s="2" t="s">
        <v>17</v>
      </c>
      <c r="D6" s="2">
        <v>0.5</v>
      </c>
      <c r="E6" s="2">
        <v>1</v>
      </c>
      <c r="F6" s="2">
        <v>0.33329999999999999</v>
      </c>
      <c r="G6" s="2"/>
      <c r="H6" s="2">
        <v>0.5</v>
      </c>
      <c r="I6" s="2">
        <v>1</v>
      </c>
      <c r="J6" s="2">
        <v>0.33329999999999999</v>
      </c>
      <c r="K6" s="2"/>
      <c r="L6" s="2">
        <f>SUM(L2:L5)</f>
        <v>60</v>
      </c>
      <c r="M6" s="2">
        <f>SUM(M2:M5)</f>
        <v>85.904599999999988</v>
      </c>
    </row>
    <row r="7" spans="1:13" x14ac:dyDescent="0.3">
      <c r="C7" s="2" t="s">
        <v>18</v>
      </c>
      <c r="D7" s="2">
        <v>0.5</v>
      </c>
      <c r="E7" s="2">
        <v>1</v>
      </c>
      <c r="F7" s="2">
        <v>0.33329999999999999</v>
      </c>
      <c r="G7" s="2"/>
      <c r="H7" s="2">
        <v>0.5</v>
      </c>
      <c r="I7" s="2">
        <v>1</v>
      </c>
      <c r="J7" s="2">
        <v>0.33329999999999999</v>
      </c>
    </row>
    <row r="9" spans="1:13" x14ac:dyDescent="0.3">
      <c r="A9" s="1" t="s">
        <v>13</v>
      </c>
      <c r="B9" s="1">
        <v>8</v>
      </c>
      <c r="C9" s="1" t="s">
        <v>8</v>
      </c>
      <c r="D9" s="1">
        <v>1</v>
      </c>
      <c r="E9" s="1">
        <v>1</v>
      </c>
      <c r="F9" s="1">
        <v>1</v>
      </c>
      <c r="H9" s="1">
        <v>1</v>
      </c>
      <c r="I9" s="1">
        <v>1</v>
      </c>
      <c r="J9" s="1">
        <v>1</v>
      </c>
      <c r="L9" s="1">
        <v>13</v>
      </c>
      <c r="M9" s="1">
        <v>32.765900000000002</v>
      </c>
    </row>
    <row r="10" spans="1:13" x14ac:dyDescent="0.3">
      <c r="A10" s="1" t="s">
        <v>13</v>
      </c>
      <c r="B10" s="1">
        <v>8</v>
      </c>
      <c r="C10" s="1" t="s">
        <v>9</v>
      </c>
      <c r="D10" s="1">
        <v>1</v>
      </c>
      <c r="E10" s="1">
        <v>1</v>
      </c>
      <c r="F10" s="1">
        <v>1</v>
      </c>
      <c r="H10" s="1">
        <v>1</v>
      </c>
      <c r="I10" s="1">
        <v>1</v>
      </c>
      <c r="J10" s="1">
        <v>1</v>
      </c>
      <c r="L10" s="1">
        <v>7</v>
      </c>
      <c r="M10" s="1">
        <v>16.241299999999999</v>
      </c>
    </row>
    <row r="11" spans="1:13" x14ac:dyDescent="0.3">
      <c r="A11" s="1" t="s">
        <v>13</v>
      </c>
      <c r="B11" s="1">
        <v>8</v>
      </c>
      <c r="C11" s="1" t="s">
        <v>10</v>
      </c>
      <c r="D11" s="1">
        <v>1</v>
      </c>
      <c r="E11" s="1">
        <v>1</v>
      </c>
      <c r="F11" s="1">
        <v>1</v>
      </c>
      <c r="H11" s="1">
        <v>1</v>
      </c>
      <c r="I11" s="1">
        <v>1</v>
      </c>
      <c r="J11" s="1">
        <v>1</v>
      </c>
      <c r="L11" s="1">
        <v>11</v>
      </c>
      <c r="M11" s="1">
        <v>24.208200000000001</v>
      </c>
    </row>
    <row r="12" spans="1:13" x14ac:dyDescent="0.3">
      <c r="A12" s="1" t="s">
        <v>13</v>
      </c>
      <c r="B12" s="1">
        <v>8</v>
      </c>
      <c r="C12" s="1" t="s">
        <v>11</v>
      </c>
      <c r="D12" s="1">
        <v>1</v>
      </c>
      <c r="E12" s="1">
        <v>1</v>
      </c>
      <c r="F12" s="1">
        <v>1</v>
      </c>
      <c r="H12" s="1">
        <v>1</v>
      </c>
      <c r="I12" s="1">
        <v>1</v>
      </c>
      <c r="J12" s="1">
        <v>1</v>
      </c>
      <c r="L12" s="1">
        <v>29</v>
      </c>
      <c r="M12" s="1">
        <v>58.831600000000002</v>
      </c>
    </row>
    <row r="13" spans="1:13" x14ac:dyDescent="0.3">
      <c r="A13" s="2" t="s">
        <v>13</v>
      </c>
      <c r="B13" s="2">
        <v>8</v>
      </c>
      <c r="C13" s="2" t="s">
        <v>17</v>
      </c>
      <c r="D13" s="2">
        <v>1</v>
      </c>
      <c r="E13" s="2">
        <v>1</v>
      </c>
      <c r="F13" s="2">
        <v>1</v>
      </c>
      <c r="G13" s="2"/>
      <c r="H13" s="2">
        <v>1</v>
      </c>
      <c r="I13" s="2">
        <v>1</v>
      </c>
      <c r="J13" s="2">
        <v>1</v>
      </c>
      <c r="K13" s="2"/>
      <c r="L13" s="2">
        <f>SUM(L9:L12)</f>
        <v>60</v>
      </c>
      <c r="M13" s="2">
        <f>SUM(M9:M12)</f>
        <v>132.047</v>
      </c>
    </row>
    <row r="14" spans="1:13" x14ac:dyDescent="0.3">
      <c r="C14" s="2" t="s">
        <v>18</v>
      </c>
      <c r="D14" s="2">
        <v>1</v>
      </c>
      <c r="E14" s="2">
        <v>1</v>
      </c>
      <c r="F14" s="2">
        <v>1</v>
      </c>
      <c r="G14" s="2"/>
      <c r="H14" s="2">
        <v>1</v>
      </c>
      <c r="I14" s="2">
        <v>1</v>
      </c>
      <c r="J14" s="2">
        <v>1</v>
      </c>
    </row>
    <row r="15" spans="1:13" x14ac:dyDescent="0.3">
      <c r="C15" s="2"/>
      <c r="D15" s="2"/>
      <c r="E15" s="2"/>
      <c r="F15" s="2"/>
      <c r="G15" s="2"/>
      <c r="H15" s="2"/>
      <c r="I15" s="2"/>
      <c r="J15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109D-F840-4E14-9F8F-569D7CE0992E}">
  <dimension ref="A1:M16"/>
  <sheetViews>
    <sheetView topLeftCell="B1" workbookViewId="0">
      <pane ySplit="1" topLeftCell="A2" activePane="bottomLeft" state="frozen"/>
      <selection pane="bottomLeft" activeCell="C23" sqref="C23"/>
    </sheetView>
  </sheetViews>
  <sheetFormatPr defaultColWidth="9.1640625" defaultRowHeight="14" x14ac:dyDescent="0.3"/>
  <cols>
    <col min="1" max="1" width="29" style="1" bestFit="1" customWidth="1"/>
    <col min="2" max="2" width="9.25" style="1" customWidth="1"/>
    <col min="3" max="3" width="25.25" style="1" bestFit="1" customWidth="1"/>
    <col min="4" max="7" width="9.1640625" style="1"/>
    <col min="8" max="8" width="10.58203125" style="1" bestFit="1" customWidth="1"/>
    <col min="9" max="9" width="14" style="1" bestFit="1" customWidth="1"/>
    <col min="10" max="10" width="16.83203125" style="1" bestFit="1" customWidth="1"/>
    <col min="11" max="11" width="10.4140625" style="1" customWidth="1"/>
    <col min="12" max="12" width="11.4140625" style="1" bestFit="1" customWidth="1"/>
    <col min="13" max="13" width="14.25" style="1" bestFit="1" customWidth="1"/>
    <col min="14" max="16384" width="9.1640625" style="1"/>
  </cols>
  <sheetData>
    <row r="1" spans="1:13" x14ac:dyDescent="0.3">
      <c r="A1" s="1" t="s">
        <v>0</v>
      </c>
      <c r="B1" s="1" t="s">
        <v>12</v>
      </c>
      <c r="C1" s="1" t="s">
        <v>2</v>
      </c>
      <c r="D1" s="1" t="s">
        <v>1</v>
      </c>
      <c r="E1" s="1" t="s">
        <v>4</v>
      </c>
      <c r="F1" s="1" t="s">
        <v>5</v>
      </c>
      <c r="H1" s="1" t="s">
        <v>14</v>
      </c>
      <c r="I1" s="1" t="s">
        <v>15</v>
      </c>
      <c r="J1" s="1" t="s">
        <v>16</v>
      </c>
      <c r="L1" s="1" t="s">
        <v>3</v>
      </c>
      <c r="M1" s="1" t="s">
        <v>6</v>
      </c>
    </row>
    <row r="2" spans="1:13" x14ac:dyDescent="0.3">
      <c r="A2" s="1" t="s">
        <v>7</v>
      </c>
      <c r="B2" s="1">
        <v>8</v>
      </c>
      <c r="C2" s="1" t="s">
        <v>8</v>
      </c>
      <c r="D2" s="1">
        <v>0</v>
      </c>
      <c r="E2" s="1">
        <v>0</v>
      </c>
      <c r="F2" s="1">
        <v>0</v>
      </c>
      <c r="H2" s="1">
        <v>0</v>
      </c>
      <c r="I2" s="1">
        <v>1</v>
      </c>
      <c r="J2" s="1">
        <v>0</v>
      </c>
      <c r="L2" s="1">
        <v>58</v>
      </c>
      <c r="M2" s="1">
        <v>89.830699999999993</v>
      </c>
    </row>
    <row r="3" spans="1:13" x14ac:dyDescent="0.3">
      <c r="A3" s="1" t="s">
        <v>7</v>
      </c>
      <c r="B3" s="1">
        <v>8</v>
      </c>
      <c r="C3" s="1" t="s">
        <v>9</v>
      </c>
      <c r="D3" s="1">
        <v>0.4</v>
      </c>
      <c r="E3" s="1">
        <v>1</v>
      </c>
      <c r="F3" s="1">
        <v>0.25</v>
      </c>
      <c r="H3" s="1">
        <v>0.4</v>
      </c>
      <c r="I3" s="1">
        <v>1</v>
      </c>
      <c r="J3" s="1">
        <v>0.25</v>
      </c>
      <c r="L3" s="1">
        <v>54</v>
      </c>
      <c r="M3" s="1">
        <v>82.462900000000005</v>
      </c>
    </row>
    <row r="4" spans="1:13" x14ac:dyDescent="0.3">
      <c r="A4" s="1" t="s">
        <v>7</v>
      </c>
      <c r="B4" s="1">
        <v>8</v>
      </c>
      <c r="C4" s="1" t="s">
        <v>10</v>
      </c>
      <c r="D4" s="1">
        <v>0.4</v>
      </c>
      <c r="E4" s="1">
        <v>1</v>
      </c>
      <c r="F4" s="1">
        <v>0.25</v>
      </c>
      <c r="H4" s="1">
        <v>0.4</v>
      </c>
      <c r="I4" s="1">
        <v>1</v>
      </c>
      <c r="J4" s="1">
        <v>0.25</v>
      </c>
      <c r="L4" s="1">
        <v>56</v>
      </c>
      <c r="M4" s="1">
        <v>92.034800000000004</v>
      </c>
    </row>
    <row r="5" spans="1:13" x14ac:dyDescent="0.3">
      <c r="A5" s="1" t="s">
        <v>7</v>
      </c>
      <c r="B5" s="1">
        <v>8</v>
      </c>
      <c r="C5" s="1" t="s">
        <v>11</v>
      </c>
      <c r="D5" s="1">
        <v>0</v>
      </c>
      <c r="E5" s="1">
        <v>0</v>
      </c>
      <c r="F5" s="1">
        <v>0</v>
      </c>
      <c r="H5" s="1">
        <v>0</v>
      </c>
      <c r="I5" s="1">
        <v>1</v>
      </c>
      <c r="J5" s="1">
        <v>0</v>
      </c>
      <c r="L5" s="1">
        <v>80</v>
      </c>
      <c r="M5" s="1">
        <v>112.414</v>
      </c>
    </row>
    <row r="6" spans="1:13" x14ac:dyDescent="0.3">
      <c r="A6" s="2" t="s">
        <v>7</v>
      </c>
      <c r="B6" s="2">
        <v>8</v>
      </c>
      <c r="C6" s="2" t="s">
        <v>17</v>
      </c>
      <c r="D6" s="2">
        <v>0.1212</v>
      </c>
      <c r="E6" s="2">
        <v>1</v>
      </c>
      <c r="F6" s="2">
        <v>6.4500000000000002E-2</v>
      </c>
      <c r="G6" s="2"/>
      <c r="H6" s="2">
        <v>0.1212</v>
      </c>
      <c r="I6" s="2">
        <v>1</v>
      </c>
      <c r="J6" s="2">
        <v>6.4500000000000002E-2</v>
      </c>
      <c r="K6" s="2"/>
      <c r="L6" s="2">
        <f>SUM(L2:L5)</f>
        <v>248</v>
      </c>
      <c r="M6" s="2">
        <f>SUM(M2:M5)</f>
        <v>376.74239999999998</v>
      </c>
    </row>
    <row r="7" spans="1:13" x14ac:dyDescent="0.3">
      <c r="C7" s="2" t="s">
        <v>20</v>
      </c>
      <c r="D7" s="2">
        <v>0</v>
      </c>
      <c r="E7" s="2">
        <v>0</v>
      </c>
      <c r="F7" s="2">
        <v>0</v>
      </c>
      <c r="G7" s="2"/>
      <c r="H7" s="2">
        <v>0</v>
      </c>
      <c r="I7" s="2">
        <v>1</v>
      </c>
      <c r="J7" s="2">
        <v>0</v>
      </c>
    </row>
    <row r="8" spans="1:13" x14ac:dyDescent="0.3">
      <c r="C8" s="2" t="s">
        <v>22</v>
      </c>
      <c r="D8" s="2">
        <v>0</v>
      </c>
      <c r="E8" s="2">
        <v>0</v>
      </c>
      <c r="F8" s="2">
        <v>0</v>
      </c>
      <c r="G8" s="2"/>
      <c r="H8" s="2">
        <v>0</v>
      </c>
      <c r="I8" s="2">
        <v>1</v>
      </c>
      <c r="J8" s="2">
        <v>0</v>
      </c>
    </row>
    <row r="10" spans="1:13" x14ac:dyDescent="0.3">
      <c r="A10" s="1" t="s">
        <v>13</v>
      </c>
      <c r="B10" s="1">
        <v>8</v>
      </c>
      <c r="C10" s="1" t="s">
        <v>8</v>
      </c>
      <c r="D10" s="1">
        <v>0.66669999999999996</v>
      </c>
      <c r="E10" s="1">
        <v>1</v>
      </c>
      <c r="F10" s="1">
        <v>0.5</v>
      </c>
      <c r="H10" s="1">
        <v>0.66669999999999996</v>
      </c>
      <c r="I10" s="1">
        <v>1</v>
      </c>
      <c r="J10" s="1">
        <v>0.5</v>
      </c>
      <c r="L10" s="1">
        <v>33</v>
      </c>
      <c r="M10" s="1">
        <v>67.1036</v>
      </c>
    </row>
    <row r="11" spans="1:13" x14ac:dyDescent="0.3">
      <c r="A11" s="1" t="s">
        <v>13</v>
      </c>
      <c r="B11" s="1">
        <v>8</v>
      </c>
      <c r="C11" s="1" t="s">
        <v>9</v>
      </c>
      <c r="D11" s="1">
        <v>0.4</v>
      </c>
      <c r="E11" s="1">
        <v>0.5</v>
      </c>
      <c r="F11" s="1">
        <v>0.33329999999999999</v>
      </c>
      <c r="H11" s="1">
        <v>0.57140000000000002</v>
      </c>
      <c r="I11" s="1">
        <v>0.5</v>
      </c>
      <c r="J11" s="1">
        <v>0.66669999999999996</v>
      </c>
      <c r="L11" s="1">
        <v>27</v>
      </c>
      <c r="M11" s="1">
        <v>65.262200000000007</v>
      </c>
    </row>
    <row r="12" spans="1:13" x14ac:dyDescent="0.3">
      <c r="A12" s="1" t="s">
        <v>13</v>
      </c>
      <c r="B12" s="1">
        <v>8</v>
      </c>
      <c r="C12" s="1" t="s">
        <v>10</v>
      </c>
      <c r="D12" s="1">
        <v>0.4</v>
      </c>
      <c r="E12" s="1">
        <v>0.5</v>
      </c>
      <c r="F12" s="1">
        <v>0.33329999999999999</v>
      </c>
      <c r="H12" s="1">
        <v>0.57140000000000002</v>
      </c>
      <c r="I12" s="1">
        <v>0.5</v>
      </c>
      <c r="J12" s="1">
        <v>0.66669999999999996</v>
      </c>
      <c r="L12" s="1">
        <v>33</v>
      </c>
      <c r="M12" s="1">
        <v>76.462299999999999</v>
      </c>
    </row>
    <row r="13" spans="1:13" x14ac:dyDescent="0.3">
      <c r="A13" s="1" t="s">
        <v>13</v>
      </c>
      <c r="B13" s="1">
        <v>8</v>
      </c>
      <c r="C13" s="1" t="s">
        <v>11</v>
      </c>
      <c r="D13" s="1">
        <v>0.66669999999999996</v>
      </c>
      <c r="E13" s="1">
        <v>1</v>
      </c>
      <c r="F13" s="1">
        <v>0.5</v>
      </c>
      <c r="H13" s="1">
        <v>0.66669999999999996</v>
      </c>
      <c r="I13" s="1">
        <v>1</v>
      </c>
      <c r="J13" s="1">
        <v>0.5</v>
      </c>
      <c r="L13" s="1">
        <v>224</v>
      </c>
      <c r="M13" s="1">
        <v>447.75189999999998</v>
      </c>
    </row>
    <row r="14" spans="1:13" x14ac:dyDescent="0.3">
      <c r="A14" s="2" t="s">
        <v>13</v>
      </c>
      <c r="B14" s="2">
        <v>8</v>
      </c>
      <c r="C14" s="2" t="s">
        <v>17</v>
      </c>
      <c r="D14" s="2">
        <v>0.5</v>
      </c>
      <c r="E14" s="2">
        <v>1</v>
      </c>
      <c r="F14" s="2">
        <v>0.33329999999999999</v>
      </c>
      <c r="G14" s="2"/>
      <c r="H14" s="2">
        <v>0.66669999999999996</v>
      </c>
      <c r="I14" s="2">
        <v>1</v>
      </c>
      <c r="J14" s="2">
        <v>0.5</v>
      </c>
      <c r="K14" s="2"/>
      <c r="L14" s="2">
        <f>SUM(L10:L13)</f>
        <v>317</v>
      </c>
      <c r="M14" s="2">
        <f>SUM(M10:M13)</f>
        <v>656.57999999999993</v>
      </c>
    </row>
    <row r="15" spans="1:13" x14ac:dyDescent="0.3">
      <c r="C15" s="2" t="s">
        <v>18</v>
      </c>
      <c r="D15" s="2">
        <v>0.66669999999999996</v>
      </c>
      <c r="E15" s="2">
        <v>0.5</v>
      </c>
      <c r="F15" s="2">
        <v>1</v>
      </c>
      <c r="G15" s="2"/>
      <c r="H15" s="2">
        <v>0.66669999999999996</v>
      </c>
      <c r="I15" s="2">
        <v>0.5</v>
      </c>
      <c r="J15" s="2">
        <v>1</v>
      </c>
    </row>
    <row r="16" spans="1:13" x14ac:dyDescent="0.3">
      <c r="C16" s="2" t="s">
        <v>20</v>
      </c>
      <c r="D16" s="2">
        <v>0.66669999999999996</v>
      </c>
      <c r="E16" s="2">
        <v>1</v>
      </c>
      <c r="F16" s="2">
        <v>0.5</v>
      </c>
      <c r="G16" s="2"/>
      <c r="H16" s="2">
        <v>0.66669999999999996</v>
      </c>
      <c r="I16" s="2">
        <v>1</v>
      </c>
      <c r="J16" s="2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scoring shootout</vt:lpstr>
      <vt:lpstr>goalies shootout</vt:lpstr>
      <vt:lpstr>team vs team</vt:lpstr>
      <vt:lpstr>awards coaches</vt:lpstr>
      <vt:lpstr>combined shutouts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2015-06-05T18:17:20Z</dcterms:created>
  <dcterms:modified xsi:type="dcterms:W3CDTF">2026-05-25T10:56:18Z</dcterms:modified>
</cp:coreProperties>
</file>