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1_{0925562C-FFD6-4B14-9CEE-EE75990A85BA}" xr6:coauthVersionLast="47" xr6:coauthVersionMax="47" xr10:uidLastSave="{00000000-0000-0000-0000-000000000000}"/>
  <bookViews>
    <workbookView xWindow="-110" yWindow="-110" windowWidth="19420" windowHeight="10420" tabRatio="737" firstSheet="1" activeTab="7" xr2:uid="{00000000-000D-0000-FFFF-FFFF00000000}"/>
  </bookViews>
  <sheets>
    <sheet name="scoring shootout" sheetId="11" r:id="rId1"/>
    <sheet name="goalies shootout" sheetId="9" r:id="rId2"/>
    <sheet name="team vs team" sheetId="10" r:id="rId3"/>
    <sheet name="combined shutouts" sheetId="12" r:id="rId4"/>
    <sheet name="teams half" sheetId="2" r:id="rId5"/>
    <sheet name="teams post" sheetId="7" r:id="rId6"/>
    <sheet name="goalies" sheetId="8" r:id="rId7"/>
    <sheet name="team splits" sheetId="13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3" l="1"/>
  <c r="P6" i="13"/>
  <c r="P13" i="13"/>
  <c r="Q13" i="13"/>
  <c r="Q6" i="12"/>
  <c r="P6" i="12"/>
  <c r="Q13" i="12"/>
  <c r="P13" i="12"/>
  <c r="Q13" i="11"/>
  <c r="P13" i="11"/>
  <c r="Q6" i="11"/>
  <c r="P6" i="11"/>
  <c r="Q13" i="10"/>
  <c r="P13" i="10"/>
  <c r="Q6" i="10"/>
  <c r="P6" i="10"/>
  <c r="Q6" i="9"/>
  <c r="P6" i="9"/>
  <c r="Q13" i="9"/>
  <c r="P13" i="9"/>
  <c r="Q13" i="8"/>
  <c r="P13" i="8"/>
  <c r="Q6" i="8"/>
  <c r="P6" i="8"/>
  <c r="Q13" i="7"/>
  <c r="P13" i="7"/>
  <c r="Q6" i="7"/>
  <c r="P6" i="7"/>
  <c r="Q13" i="2"/>
  <c r="P13" i="2"/>
  <c r="Q6" i="2"/>
  <c r="P6" i="2"/>
</calcChain>
</file>

<file path=xl/sharedStrings.xml><?xml version="1.0" encoding="utf-8"?>
<sst xmlns="http://schemas.openxmlformats.org/spreadsheetml/2006/main" count="233" uniqueCount="22">
  <si>
    <t>Model</t>
  </si>
  <si>
    <t>F1</t>
  </si>
  <si>
    <t>Strategy</t>
  </si>
  <si>
    <t># Questions</t>
  </si>
  <si>
    <t>Recall</t>
  </si>
  <si>
    <t>Precision</t>
  </si>
  <si>
    <t>Time(minutes)</t>
  </si>
  <si>
    <t>DeepSeek-R1-Distill-Llama-70B</t>
  </si>
  <si>
    <t>topdown dfs</t>
  </si>
  <si>
    <t>topdown bfs</t>
  </si>
  <si>
    <t>bottomup dfs</t>
  </si>
  <si>
    <t>bottomup bfs</t>
  </si>
  <si>
    <t>|R|</t>
  </si>
  <si>
    <t>Qwen3-30B-A3B-Thinking-2507</t>
  </si>
  <si>
    <t>Relaxed F1</t>
  </si>
  <si>
    <t>Relaxed Recall</t>
  </si>
  <si>
    <t>Relaxed Precision</t>
  </si>
  <si>
    <t>Aggregation(Non-Minimal)</t>
  </si>
  <si>
    <t>Minimization of freq &gt;= 4</t>
  </si>
  <si>
    <t>|Predicted Prime Attrs|</t>
    <phoneticPr fontId="1" type="noConversion"/>
  </si>
  <si>
    <t>Minimization of freq &gt;= 2</t>
    <phoneticPr fontId="1" type="noConversion"/>
  </si>
  <si>
    <t>Minimization of freq &gt;=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</si>
</sst>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F4D9-8A0E-4368-80BB-1522004C388A}">
  <dimension ref="A1:Q15"/>
  <sheetViews>
    <sheetView topLeftCell="F1" workbookViewId="0">
      <pane ySplit="1" topLeftCell="A2" activePane="bottomLeft" state="frozen"/>
      <selection pane="bottomLeft" activeCell="Q14" sqref="Q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7</v>
      </c>
      <c r="C2" s="3">
        <v>3</v>
      </c>
      <c r="D2" s="3">
        <v>1</v>
      </c>
      <c r="E2" s="3">
        <v>1</v>
      </c>
      <c r="F2" s="3">
        <v>1</v>
      </c>
      <c r="G2" s="1" t="s">
        <v>8</v>
      </c>
      <c r="H2" s="1">
        <v>1</v>
      </c>
      <c r="I2" s="1">
        <v>1</v>
      </c>
      <c r="J2" s="1">
        <v>1</v>
      </c>
      <c r="L2" s="1">
        <v>1</v>
      </c>
      <c r="M2" s="1">
        <v>1</v>
      </c>
      <c r="N2" s="1">
        <v>1</v>
      </c>
      <c r="P2" s="1">
        <v>4</v>
      </c>
      <c r="Q2" s="1">
        <v>4.2156000000000002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4</v>
      </c>
      <c r="Q3" s="1">
        <v>4.2157999999999998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6</v>
      </c>
      <c r="Q4" s="1">
        <v>6.7049000000000003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P5" s="1">
        <v>8</v>
      </c>
      <c r="Q5" s="1">
        <v>8.8063000000000002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1</v>
      </c>
      <c r="I6" s="1">
        <v>1</v>
      </c>
      <c r="J6" s="1">
        <v>1</v>
      </c>
      <c r="K6" s="2"/>
      <c r="L6" s="1">
        <v>1</v>
      </c>
      <c r="M6" s="1">
        <v>1</v>
      </c>
      <c r="N6" s="1">
        <v>1</v>
      </c>
      <c r="O6" s="2"/>
      <c r="P6" s="2">
        <f>SUM(P2:P5)</f>
        <v>22</v>
      </c>
      <c r="Q6" s="2">
        <f>SUM(Q2:Q5)</f>
        <v>23.942599999999999</v>
      </c>
    </row>
    <row r="7" spans="1:17" x14ac:dyDescent="0.3">
      <c r="G7" s="2" t="s">
        <v>18</v>
      </c>
      <c r="H7" s="1">
        <v>1</v>
      </c>
      <c r="I7" s="1">
        <v>1</v>
      </c>
      <c r="J7" s="1">
        <v>1</v>
      </c>
      <c r="K7" s="2"/>
      <c r="L7" s="1">
        <v>1</v>
      </c>
      <c r="M7" s="1">
        <v>1</v>
      </c>
      <c r="N7" s="1">
        <v>1</v>
      </c>
    </row>
    <row r="9" spans="1:17" x14ac:dyDescent="0.3">
      <c r="A9" s="3" t="s">
        <v>13</v>
      </c>
      <c r="B9" s="3">
        <v>7</v>
      </c>
      <c r="C9" s="3">
        <v>3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4</v>
      </c>
      <c r="Q9" s="1">
        <v>5.1180000000000003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4</v>
      </c>
      <c r="Q10" s="1">
        <v>5.1115000000000004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6</v>
      </c>
      <c r="Q11" s="1">
        <v>7.4551999999999996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8</v>
      </c>
      <c r="Q12" s="1">
        <v>10.1899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22</v>
      </c>
      <c r="Q13" s="2">
        <f>SUM(Q9:Q12)</f>
        <v>27.874600000000001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666D-4177-4ADD-A781-6E2C973427E2}">
  <dimension ref="A1:Q15"/>
  <sheetViews>
    <sheetView topLeftCell="F1" workbookViewId="0">
      <pane ySplit="1" topLeftCell="A2" activePane="bottomLeft" state="frozen"/>
      <selection pane="bottomLeft" activeCell="J23" sqref="J23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8</v>
      </c>
      <c r="C2" s="3">
        <v>3</v>
      </c>
      <c r="D2" s="3">
        <v>1</v>
      </c>
      <c r="E2" s="3">
        <v>1</v>
      </c>
      <c r="F2" s="3">
        <v>1</v>
      </c>
      <c r="G2" s="1" t="s">
        <v>8</v>
      </c>
      <c r="H2" s="1">
        <v>1</v>
      </c>
      <c r="I2" s="1">
        <v>1</v>
      </c>
      <c r="J2" s="1">
        <v>1</v>
      </c>
      <c r="L2" s="1">
        <v>1</v>
      </c>
      <c r="M2" s="1">
        <v>1</v>
      </c>
      <c r="N2" s="1">
        <v>1</v>
      </c>
      <c r="P2" s="1">
        <v>4</v>
      </c>
      <c r="Q2" s="1">
        <v>4.5904999999999996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4</v>
      </c>
      <c r="Q3" s="1">
        <v>4.5904999999999996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6</v>
      </c>
      <c r="Q4" s="1">
        <v>5.7343999999999999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P5" s="1">
        <v>8</v>
      </c>
      <c r="Q5" s="1">
        <v>7.53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1</v>
      </c>
      <c r="I6" s="1">
        <v>1</v>
      </c>
      <c r="J6" s="1">
        <v>1</v>
      </c>
      <c r="K6" s="2"/>
      <c r="L6" s="1">
        <v>1</v>
      </c>
      <c r="M6" s="1">
        <v>1</v>
      </c>
      <c r="N6" s="1">
        <v>1</v>
      </c>
      <c r="O6" s="2"/>
      <c r="P6" s="2">
        <f>SUM(P2:P5)</f>
        <v>22</v>
      </c>
      <c r="Q6" s="2">
        <f>SUM(Q2:Q5)</f>
        <v>22.445399999999999</v>
      </c>
    </row>
    <row r="7" spans="1:17" x14ac:dyDescent="0.3">
      <c r="G7" s="2" t="s">
        <v>18</v>
      </c>
      <c r="H7" s="1">
        <v>1</v>
      </c>
      <c r="I7" s="1">
        <v>1</v>
      </c>
      <c r="J7" s="1">
        <v>1</v>
      </c>
      <c r="K7" s="2"/>
      <c r="L7" s="1">
        <v>1</v>
      </c>
      <c r="M7" s="1">
        <v>1</v>
      </c>
      <c r="N7" s="1">
        <v>1</v>
      </c>
    </row>
    <row r="9" spans="1:17" x14ac:dyDescent="0.3">
      <c r="A9" s="3" t="s">
        <v>13</v>
      </c>
      <c r="B9" s="3">
        <v>8</v>
      </c>
      <c r="C9" s="3">
        <v>3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4</v>
      </c>
      <c r="Q9" s="1">
        <v>4.4706000000000001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4</v>
      </c>
      <c r="Q10" s="1">
        <v>4.4138000000000002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6</v>
      </c>
      <c r="Q11" s="1">
        <v>7.4718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8</v>
      </c>
      <c r="Q12" s="1">
        <v>12.758599999999999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22</v>
      </c>
      <c r="Q13" s="2">
        <f>SUM(Q9:Q12)</f>
        <v>29.114800000000002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F904-5474-4129-8E85-06B505F7F42D}">
  <dimension ref="A1:Q15"/>
  <sheetViews>
    <sheetView topLeftCell="F1" workbookViewId="0">
      <pane ySplit="1" topLeftCell="A2" activePane="bottomLeft" state="frozen"/>
      <selection pane="bottomLeft" activeCell="P14" sqref="P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8</v>
      </c>
      <c r="C2" s="3">
        <v>4</v>
      </c>
      <c r="D2" s="3">
        <v>0.85709999999999997</v>
      </c>
      <c r="E2" s="3">
        <v>1</v>
      </c>
      <c r="F2" s="3">
        <v>0.75</v>
      </c>
      <c r="G2" s="1" t="s">
        <v>8</v>
      </c>
      <c r="H2" s="1">
        <v>1</v>
      </c>
      <c r="I2" s="1">
        <v>1</v>
      </c>
      <c r="J2" s="1">
        <v>1</v>
      </c>
      <c r="L2" s="1">
        <v>1</v>
      </c>
      <c r="M2" s="1">
        <v>1</v>
      </c>
      <c r="N2" s="1">
        <v>1</v>
      </c>
      <c r="P2" s="1">
        <v>8</v>
      </c>
      <c r="Q2" s="1">
        <v>9.1349999999999998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5</v>
      </c>
      <c r="Q3" s="1">
        <v>6.1654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8</v>
      </c>
      <c r="Q4" s="1">
        <v>9.1333000000000002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P5" s="1">
        <v>15</v>
      </c>
      <c r="Q5" s="1">
        <v>16.069700000000001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1</v>
      </c>
      <c r="I6" s="1">
        <v>1</v>
      </c>
      <c r="J6" s="1">
        <v>1</v>
      </c>
      <c r="K6" s="2"/>
      <c r="L6" s="1">
        <v>1</v>
      </c>
      <c r="M6" s="1">
        <v>1</v>
      </c>
      <c r="N6" s="1">
        <v>1</v>
      </c>
      <c r="O6" s="2"/>
      <c r="P6" s="2">
        <f>SUM(P2:P5)</f>
        <v>36</v>
      </c>
      <c r="Q6" s="2">
        <f>SUM(Q2:Q5)</f>
        <v>40.503399999999999</v>
      </c>
    </row>
    <row r="7" spans="1:17" x14ac:dyDescent="0.3">
      <c r="G7" s="2" t="s">
        <v>18</v>
      </c>
      <c r="H7" s="1">
        <v>1</v>
      </c>
      <c r="I7" s="1">
        <v>1</v>
      </c>
      <c r="J7" s="1">
        <v>1</v>
      </c>
      <c r="K7" s="2"/>
      <c r="L7" s="1">
        <v>1</v>
      </c>
      <c r="M7" s="1">
        <v>1</v>
      </c>
      <c r="N7" s="1">
        <v>1</v>
      </c>
    </row>
    <row r="9" spans="1:17" x14ac:dyDescent="0.3">
      <c r="A9" s="3" t="s">
        <v>13</v>
      </c>
      <c r="B9" s="3">
        <v>8</v>
      </c>
      <c r="C9" s="3">
        <v>4</v>
      </c>
      <c r="D9" s="3">
        <v>0.85709999999999997</v>
      </c>
      <c r="E9" s="3">
        <v>1</v>
      </c>
      <c r="F9" s="3">
        <v>0.75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5</v>
      </c>
      <c r="Q9" s="1">
        <v>7.5468999999999999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5</v>
      </c>
      <c r="Q10" s="1">
        <v>7.5602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7</v>
      </c>
      <c r="Q11" s="1">
        <v>9.8584999999999994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15</v>
      </c>
      <c r="Q12" s="1">
        <v>22.838699999999999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32</v>
      </c>
      <c r="Q13" s="2">
        <f>SUM(Q9:Q12)</f>
        <v>47.804299999999998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B64A-CB27-4035-9965-4A62BA30AD83}">
  <dimension ref="A1:Q15"/>
  <sheetViews>
    <sheetView topLeftCell="F1" workbookViewId="0">
      <pane ySplit="1" topLeftCell="A2" activePane="bottomLeft" state="frozen"/>
      <selection pane="bottomLeft" activeCell="P7" sqref="P7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8</v>
      </c>
      <c r="C2" s="3">
        <v>5</v>
      </c>
      <c r="D2" s="3">
        <v>1</v>
      </c>
      <c r="E2" s="3">
        <v>1</v>
      </c>
      <c r="F2" s="3">
        <v>1</v>
      </c>
      <c r="G2" s="1" t="s">
        <v>8</v>
      </c>
      <c r="H2" s="1">
        <v>0</v>
      </c>
      <c r="I2" s="1">
        <v>0</v>
      </c>
      <c r="J2" s="1">
        <v>0</v>
      </c>
      <c r="L2" s="1">
        <v>0</v>
      </c>
      <c r="M2" s="1">
        <v>1</v>
      </c>
      <c r="N2" s="1">
        <v>0</v>
      </c>
      <c r="P2" s="1">
        <v>15</v>
      </c>
      <c r="Q2" s="1">
        <v>17.9391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7</v>
      </c>
      <c r="Q3" s="1">
        <v>9.2635000000000005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11</v>
      </c>
      <c r="Q4" s="1">
        <v>13.882899999999999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0</v>
      </c>
      <c r="I5" s="1">
        <v>0</v>
      </c>
      <c r="J5" s="1">
        <v>0</v>
      </c>
      <c r="L5" s="1">
        <v>0</v>
      </c>
      <c r="M5" s="1">
        <v>1</v>
      </c>
      <c r="N5" s="1">
        <v>0</v>
      </c>
      <c r="P5" s="1">
        <v>24</v>
      </c>
      <c r="Q5" s="1">
        <v>25.473299999999998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0.66669999999999996</v>
      </c>
      <c r="I6" s="1">
        <v>1</v>
      </c>
      <c r="J6" s="1">
        <v>0.5</v>
      </c>
      <c r="K6" s="2"/>
      <c r="L6" s="1">
        <v>0.66669999999999996</v>
      </c>
      <c r="M6" s="1">
        <v>1</v>
      </c>
      <c r="N6" s="1">
        <v>0.5</v>
      </c>
      <c r="O6" s="2"/>
      <c r="P6" s="2">
        <f>SUM(P2:P5)</f>
        <v>57</v>
      </c>
      <c r="Q6" s="2">
        <f>SUM(Q2:Q5)</f>
        <v>66.558799999999991</v>
      </c>
    </row>
    <row r="7" spans="1:17" x14ac:dyDescent="0.3">
      <c r="G7" s="2" t="s">
        <v>20</v>
      </c>
      <c r="H7" s="1">
        <v>0</v>
      </c>
      <c r="I7" s="1">
        <v>0</v>
      </c>
      <c r="J7" s="1">
        <v>0</v>
      </c>
      <c r="K7" s="2"/>
      <c r="L7" s="1">
        <v>0</v>
      </c>
      <c r="M7" s="1">
        <v>1</v>
      </c>
      <c r="N7" s="1">
        <v>0</v>
      </c>
    </row>
    <row r="9" spans="1:17" x14ac:dyDescent="0.3">
      <c r="A9" s="3" t="s">
        <v>13</v>
      </c>
      <c r="B9" s="3">
        <v>8</v>
      </c>
      <c r="C9" s="3">
        <v>5</v>
      </c>
      <c r="D9" s="3">
        <v>1</v>
      </c>
      <c r="E9" s="3">
        <v>1</v>
      </c>
      <c r="F9" s="3">
        <v>1</v>
      </c>
      <c r="G9" s="1" t="s">
        <v>8</v>
      </c>
      <c r="H9" s="1">
        <v>0.8</v>
      </c>
      <c r="I9" s="1">
        <v>1</v>
      </c>
      <c r="J9" s="1">
        <v>0.66669999999999996</v>
      </c>
      <c r="L9" s="1">
        <v>0.8</v>
      </c>
      <c r="M9" s="1">
        <v>1</v>
      </c>
      <c r="N9" s="1">
        <v>0.66669999999999996</v>
      </c>
      <c r="P9" s="1">
        <v>13</v>
      </c>
      <c r="Q9" s="1">
        <v>19.123699999999999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0.8</v>
      </c>
      <c r="I10" s="1">
        <v>1</v>
      </c>
      <c r="J10" s="1">
        <v>0.66669999999999996</v>
      </c>
      <c r="L10" s="1">
        <v>0.8</v>
      </c>
      <c r="M10" s="1">
        <v>1</v>
      </c>
      <c r="N10" s="1">
        <v>0.66669999999999996</v>
      </c>
      <c r="P10" s="1">
        <v>9</v>
      </c>
      <c r="Q10" s="1">
        <v>14.531499999999999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10</v>
      </c>
      <c r="Q11" s="1">
        <v>14.1023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0.8</v>
      </c>
      <c r="I12" s="1">
        <v>1</v>
      </c>
      <c r="J12" s="1">
        <v>0.66669999999999996</v>
      </c>
      <c r="L12" s="1">
        <v>0.8</v>
      </c>
      <c r="M12" s="1">
        <v>1</v>
      </c>
      <c r="N12" s="1">
        <v>0.66669999999999996</v>
      </c>
      <c r="P12" s="1">
        <v>31</v>
      </c>
      <c r="Q12" s="1">
        <v>47.689500000000002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0.8</v>
      </c>
      <c r="I13" s="1">
        <v>1</v>
      </c>
      <c r="J13" s="1">
        <v>0.66669999999999996</v>
      </c>
      <c r="K13" s="2"/>
      <c r="L13" s="1">
        <v>0.8</v>
      </c>
      <c r="M13" s="1">
        <v>1</v>
      </c>
      <c r="N13" s="1">
        <v>0.66669999999999996</v>
      </c>
      <c r="O13" s="2"/>
      <c r="P13" s="2">
        <f>SUM(P9:P12)</f>
        <v>63</v>
      </c>
      <c r="Q13" s="2">
        <f>SUM(Q9:Q12)</f>
        <v>95.447000000000003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 t="s">
        <v>21</v>
      </c>
      <c r="H15" s="2">
        <v>0.8</v>
      </c>
      <c r="I15" s="2">
        <v>1</v>
      </c>
      <c r="J15" s="2">
        <v>0.66669999999999996</v>
      </c>
      <c r="K15" s="2"/>
      <c r="L15" s="2">
        <v>0.8</v>
      </c>
      <c r="M15" s="2">
        <v>1</v>
      </c>
      <c r="N15" s="2">
        <v>0.66669999999999996</v>
      </c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E806-3EB8-4145-A57B-904AD2F281D9}">
  <dimension ref="A1:Q15"/>
  <sheetViews>
    <sheetView topLeftCell="F1" workbookViewId="0">
      <pane ySplit="1" topLeftCell="A2" activePane="bottomLeft" state="frozen"/>
      <selection pane="bottomLeft" activeCell="O14" sqref="O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11</v>
      </c>
      <c r="C2" s="3">
        <v>3</v>
      </c>
      <c r="D2" s="3">
        <v>1</v>
      </c>
      <c r="E2" s="3">
        <v>1</v>
      </c>
      <c r="F2" s="3">
        <v>1</v>
      </c>
      <c r="G2" s="1" t="s">
        <v>8</v>
      </c>
      <c r="H2" s="1">
        <v>1</v>
      </c>
      <c r="I2" s="1">
        <v>1</v>
      </c>
      <c r="J2" s="1">
        <v>1</v>
      </c>
      <c r="L2" s="1">
        <v>1</v>
      </c>
      <c r="M2" s="1">
        <v>1</v>
      </c>
      <c r="N2" s="1">
        <v>1</v>
      </c>
      <c r="P2" s="1">
        <v>4</v>
      </c>
      <c r="Q2" s="1">
        <v>4.4134000000000002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4</v>
      </c>
      <c r="Q3" s="1">
        <v>4.4127999999999998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6</v>
      </c>
      <c r="Q4" s="1">
        <v>6.2523999999999997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P5" s="1">
        <v>8</v>
      </c>
      <c r="Q5" s="1">
        <v>8.5884999999999998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1</v>
      </c>
      <c r="I6" s="1">
        <v>1</v>
      </c>
      <c r="J6" s="1">
        <v>1</v>
      </c>
      <c r="K6" s="2"/>
      <c r="L6" s="1">
        <v>1</v>
      </c>
      <c r="M6" s="1">
        <v>1</v>
      </c>
      <c r="N6" s="1">
        <v>1</v>
      </c>
      <c r="O6" s="2"/>
      <c r="P6" s="2">
        <f>SUM(P2:P5)</f>
        <v>22</v>
      </c>
      <c r="Q6" s="2">
        <f>SUM(Q2:Q5)</f>
        <v>23.667099999999998</v>
      </c>
    </row>
    <row r="7" spans="1:17" x14ac:dyDescent="0.3">
      <c r="G7" s="2" t="s">
        <v>18</v>
      </c>
      <c r="H7" s="1">
        <v>1</v>
      </c>
      <c r="I7" s="1">
        <v>1</v>
      </c>
      <c r="J7" s="1">
        <v>1</v>
      </c>
      <c r="K7" s="2"/>
      <c r="L7" s="1">
        <v>1</v>
      </c>
      <c r="M7" s="1">
        <v>1</v>
      </c>
      <c r="N7" s="1">
        <v>1</v>
      </c>
    </row>
    <row r="9" spans="1:17" x14ac:dyDescent="0.3">
      <c r="A9" s="3" t="s">
        <v>13</v>
      </c>
      <c r="B9" s="3">
        <v>11</v>
      </c>
      <c r="C9" s="3">
        <v>3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4</v>
      </c>
      <c r="Q9" s="1">
        <v>6.0034999999999998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4</v>
      </c>
      <c r="Q10" s="1">
        <v>6.0124000000000004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6</v>
      </c>
      <c r="Q11" s="1">
        <v>8.1929999999999996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8</v>
      </c>
      <c r="Q12" s="1">
        <v>11.7143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22</v>
      </c>
      <c r="Q13" s="2">
        <f>SUM(Q9:Q12)</f>
        <v>31.923200000000001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9:A12"/>
    <mergeCell ref="B2:B5"/>
    <mergeCell ref="B9:B12"/>
    <mergeCell ref="C9:C12"/>
    <mergeCell ref="D9:D12"/>
    <mergeCell ref="E9:E12"/>
    <mergeCell ref="D2:D5"/>
    <mergeCell ref="E2:E5"/>
    <mergeCell ref="F2:F5"/>
    <mergeCell ref="C2:C5"/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C4E3-C0CC-41A2-B76C-6885D9BA4F88}">
  <dimension ref="A1:Q15"/>
  <sheetViews>
    <sheetView topLeftCell="F1" workbookViewId="0">
      <pane ySplit="1" topLeftCell="A2" activePane="bottomLeft" state="frozen"/>
      <selection pane="bottomLeft" activeCell="G2" sqref="G2:G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17</v>
      </c>
      <c r="C2" s="3">
        <v>3</v>
      </c>
      <c r="D2" s="3">
        <v>0.8</v>
      </c>
      <c r="E2" s="3">
        <v>1</v>
      </c>
      <c r="F2" s="3">
        <v>0.66669999999999996</v>
      </c>
      <c r="G2" s="1" t="s">
        <v>8</v>
      </c>
      <c r="H2" s="1">
        <v>0.66669999999999996</v>
      </c>
      <c r="I2" s="1">
        <v>1</v>
      </c>
      <c r="J2" s="1">
        <v>0.5</v>
      </c>
      <c r="L2" s="1">
        <v>0.66669999999999996</v>
      </c>
      <c r="M2" s="1">
        <v>1</v>
      </c>
      <c r="N2" s="1">
        <v>0.5</v>
      </c>
      <c r="P2" s="1">
        <v>5</v>
      </c>
      <c r="Q2" s="1">
        <v>4.8992000000000004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0.66669999999999996</v>
      </c>
      <c r="I3" s="1">
        <v>1</v>
      </c>
      <c r="J3" s="1">
        <v>0.5</v>
      </c>
      <c r="L3" s="1">
        <v>0.66669999999999996</v>
      </c>
      <c r="M3" s="1">
        <v>1</v>
      </c>
      <c r="N3" s="1">
        <v>0.5</v>
      </c>
      <c r="P3" s="1">
        <v>5</v>
      </c>
      <c r="Q3" s="1">
        <v>4.899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0.66669999999999996</v>
      </c>
      <c r="I4" s="1">
        <v>1</v>
      </c>
      <c r="J4" s="1">
        <v>0.5</v>
      </c>
      <c r="L4" s="1">
        <v>0.66669999999999996</v>
      </c>
      <c r="M4" s="1">
        <v>1</v>
      </c>
      <c r="N4" s="1">
        <v>0.5</v>
      </c>
      <c r="P4" s="1">
        <v>6</v>
      </c>
      <c r="Q4" s="1">
        <v>5.7024999999999997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0.66669999999999996</v>
      </c>
      <c r="I5" s="1">
        <v>1</v>
      </c>
      <c r="J5" s="1">
        <v>0.5</v>
      </c>
      <c r="L5" s="1">
        <v>0.66669999999999996</v>
      </c>
      <c r="M5" s="1">
        <v>1</v>
      </c>
      <c r="N5" s="1">
        <v>0.5</v>
      </c>
      <c r="P5" s="1">
        <v>7</v>
      </c>
      <c r="Q5" s="1">
        <v>6.6300999999999997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0.66669999999999996</v>
      </c>
      <c r="I6" s="1">
        <v>1</v>
      </c>
      <c r="J6" s="1">
        <v>0.5</v>
      </c>
      <c r="K6" s="2"/>
      <c r="L6" s="1">
        <v>0.66669999999999996</v>
      </c>
      <c r="M6" s="1">
        <v>1</v>
      </c>
      <c r="N6" s="1">
        <v>0.5</v>
      </c>
      <c r="O6" s="2"/>
      <c r="P6" s="2">
        <f>SUM(P2:P5)</f>
        <v>23</v>
      </c>
      <c r="Q6" s="2">
        <f>SUM(Q2:Q5)</f>
        <v>22.130800000000001</v>
      </c>
    </row>
    <row r="7" spans="1:17" x14ac:dyDescent="0.3">
      <c r="G7" s="2" t="s">
        <v>18</v>
      </c>
      <c r="H7" s="1">
        <v>0.66669999999999996</v>
      </c>
      <c r="I7" s="1">
        <v>1</v>
      </c>
      <c r="J7" s="1">
        <v>0.5</v>
      </c>
      <c r="K7" s="2"/>
      <c r="L7" s="1">
        <v>0.66669999999999996</v>
      </c>
      <c r="M7" s="1">
        <v>1</v>
      </c>
      <c r="N7" s="1">
        <v>0.5</v>
      </c>
    </row>
    <row r="9" spans="1:17" x14ac:dyDescent="0.3">
      <c r="A9" s="3" t="s">
        <v>13</v>
      </c>
      <c r="B9" s="3">
        <v>17</v>
      </c>
      <c r="C9" s="3">
        <v>2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3</v>
      </c>
      <c r="Q9" s="1">
        <v>5.1108000000000002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3</v>
      </c>
      <c r="Q10" s="1">
        <v>5.0940000000000003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4</v>
      </c>
      <c r="Q11" s="1">
        <v>7.2042000000000002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4</v>
      </c>
      <c r="Q12" s="1">
        <v>7.3083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14</v>
      </c>
      <c r="Q13" s="2">
        <f>SUM(Q9:Q12)</f>
        <v>24.717299999999998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C6D1-3C88-4B85-80A5-7076A363A578}">
  <dimension ref="A1:Q15"/>
  <sheetViews>
    <sheetView topLeftCell="F1" workbookViewId="0">
      <pane ySplit="1" topLeftCell="A2" activePane="bottomLeft" state="frozen"/>
      <selection pane="bottomLeft" activeCell="H9" sqref="H9:N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23</v>
      </c>
      <c r="C2" s="3">
        <v>4</v>
      </c>
      <c r="D2" s="3">
        <v>0.85709999999999997</v>
      </c>
      <c r="E2" s="3">
        <v>1</v>
      </c>
      <c r="F2" s="3">
        <v>0.75</v>
      </c>
      <c r="G2" s="1" t="s">
        <v>8</v>
      </c>
      <c r="H2" s="1">
        <v>0.66669999999999996</v>
      </c>
      <c r="I2" s="1">
        <v>1</v>
      </c>
      <c r="J2" s="1">
        <v>0.5</v>
      </c>
      <c r="L2" s="1">
        <v>0.66669999999999996</v>
      </c>
      <c r="M2" s="1">
        <v>1</v>
      </c>
      <c r="N2" s="1">
        <v>0.5</v>
      </c>
      <c r="P2" s="1">
        <v>8</v>
      </c>
      <c r="Q2" s="1">
        <v>12.26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0.66669999999999996</v>
      </c>
      <c r="I3" s="1">
        <v>1</v>
      </c>
      <c r="J3" s="1">
        <v>0.5</v>
      </c>
      <c r="L3" s="1">
        <v>0.66669999999999996</v>
      </c>
      <c r="M3" s="1">
        <v>1</v>
      </c>
      <c r="N3" s="1">
        <v>0.5</v>
      </c>
      <c r="P3" s="1">
        <v>6</v>
      </c>
      <c r="Q3" s="1">
        <v>9.3752999999999993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0.66669999999999996</v>
      </c>
      <c r="I4" s="1">
        <v>1</v>
      </c>
      <c r="J4" s="1">
        <v>0.5</v>
      </c>
      <c r="L4" s="1">
        <v>0.66669999999999996</v>
      </c>
      <c r="M4" s="1">
        <v>1</v>
      </c>
      <c r="N4" s="1">
        <v>0.5</v>
      </c>
      <c r="P4" s="1">
        <v>9</v>
      </c>
      <c r="Q4" s="1">
        <v>12.7041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0.66669999999999996</v>
      </c>
      <c r="I5" s="1">
        <v>1</v>
      </c>
      <c r="J5" s="1">
        <v>0.5</v>
      </c>
      <c r="L5" s="1">
        <v>0.66669999999999996</v>
      </c>
      <c r="M5" s="1">
        <v>1</v>
      </c>
      <c r="N5" s="1">
        <v>0.5</v>
      </c>
      <c r="P5" s="1">
        <v>15</v>
      </c>
      <c r="Q5" s="1">
        <v>18.029399999999999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0.66669999999999996</v>
      </c>
      <c r="I6" s="1">
        <v>1</v>
      </c>
      <c r="J6" s="1">
        <v>0.5</v>
      </c>
      <c r="K6" s="2"/>
      <c r="L6" s="1">
        <v>0.66669999999999996</v>
      </c>
      <c r="M6" s="1">
        <v>1</v>
      </c>
      <c r="N6" s="1">
        <v>0.5</v>
      </c>
      <c r="O6" s="2"/>
      <c r="P6" s="2">
        <f>SUM(P2:P5)</f>
        <v>38</v>
      </c>
      <c r="Q6" s="2">
        <f>SUM(Q2:Q5)</f>
        <v>52.368799999999993</v>
      </c>
    </row>
    <row r="7" spans="1:17" x14ac:dyDescent="0.3">
      <c r="G7" s="2" t="s">
        <v>18</v>
      </c>
      <c r="H7" s="1">
        <v>0.66669999999999996</v>
      </c>
      <c r="I7" s="1">
        <v>1</v>
      </c>
      <c r="J7" s="1">
        <v>0.5</v>
      </c>
      <c r="K7" s="2"/>
      <c r="L7" s="1">
        <v>0.66669999999999996</v>
      </c>
      <c r="M7" s="1">
        <v>1</v>
      </c>
      <c r="N7" s="1">
        <v>0.5</v>
      </c>
    </row>
    <row r="9" spans="1:17" x14ac:dyDescent="0.3">
      <c r="A9" s="3" t="s">
        <v>13</v>
      </c>
      <c r="B9" s="3">
        <v>23</v>
      </c>
      <c r="C9" s="3">
        <v>3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4</v>
      </c>
      <c r="Q9" s="1">
        <v>5.4855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4</v>
      </c>
      <c r="Q10" s="1">
        <v>5.4660000000000002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6</v>
      </c>
      <c r="Q11" s="1">
        <v>7.8955000000000002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8</v>
      </c>
      <c r="Q12" s="1">
        <v>10.209300000000001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22</v>
      </c>
      <c r="Q13" s="2">
        <f>SUM(Q9:Q12)</f>
        <v>29.0563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F9:F12"/>
    <mergeCell ref="A2:A5"/>
    <mergeCell ref="B2:B5"/>
    <mergeCell ref="C2:C5"/>
    <mergeCell ref="D2:D5"/>
    <mergeCell ref="E2:E5"/>
    <mergeCell ref="F2:F5"/>
    <mergeCell ref="A9:A12"/>
    <mergeCell ref="B9:B12"/>
    <mergeCell ref="C9:C12"/>
    <mergeCell ref="D9:D12"/>
    <mergeCell ref="E9:E1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5C00-0159-4F96-BBC9-4B392EB7202C}">
  <dimension ref="A1:Q15"/>
  <sheetViews>
    <sheetView tabSelected="1" workbookViewId="0">
      <pane ySplit="1" topLeftCell="A2" activePane="bottomLeft" state="frozen"/>
      <selection pane="bottomLeft" activeCell="P7" sqref="P7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19.25" style="1" bestFit="1" customWidth="1"/>
    <col min="4" max="6" width="10" style="1" customWidth="1"/>
    <col min="7" max="7" width="25.25" style="1" bestFit="1" customWidth="1"/>
    <col min="8" max="11" width="9.1640625" style="1"/>
    <col min="12" max="12" width="10.58203125" style="1" bestFit="1" customWidth="1"/>
    <col min="13" max="13" width="14" style="1" bestFit="1" customWidth="1"/>
    <col min="14" max="14" width="16.83203125" style="1" bestFit="1" customWidth="1"/>
    <col min="15" max="15" width="10.4140625" style="1" customWidth="1"/>
    <col min="16" max="16" width="11.4140625" style="1" bestFit="1" customWidth="1"/>
    <col min="17" max="17" width="14.25" style="1" bestFit="1" customWidth="1"/>
    <col min="18" max="16384" width="9.1640625" style="1"/>
  </cols>
  <sheetData>
    <row r="1" spans="1:17" x14ac:dyDescent="0.3">
      <c r="A1" s="1" t="s">
        <v>0</v>
      </c>
      <c r="B1" s="1" t="s">
        <v>12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4</v>
      </c>
      <c r="J1" s="1" t="s">
        <v>5</v>
      </c>
      <c r="L1" s="1" t="s">
        <v>14</v>
      </c>
      <c r="M1" s="1" t="s">
        <v>15</v>
      </c>
      <c r="N1" s="1" t="s">
        <v>16</v>
      </c>
      <c r="P1" s="1" t="s">
        <v>3</v>
      </c>
      <c r="Q1" s="1" t="s">
        <v>6</v>
      </c>
    </row>
    <row r="2" spans="1:17" x14ac:dyDescent="0.3">
      <c r="A2" s="3" t="s">
        <v>7</v>
      </c>
      <c r="B2" s="3">
        <v>43</v>
      </c>
      <c r="C2" s="3">
        <v>3</v>
      </c>
      <c r="D2" s="3">
        <v>0.8</v>
      </c>
      <c r="E2" s="3">
        <v>1</v>
      </c>
      <c r="F2" s="3">
        <v>0.67</v>
      </c>
      <c r="G2" s="1" t="s">
        <v>8</v>
      </c>
      <c r="H2" s="1">
        <v>1</v>
      </c>
      <c r="I2" s="1">
        <v>1</v>
      </c>
      <c r="J2" s="1">
        <v>1</v>
      </c>
      <c r="L2" s="1">
        <v>1</v>
      </c>
      <c r="M2" s="1">
        <v>1</v>
      </c>
      <c r="N2" s="1">
        <v>1</v>
      </c>
      <c r="P2" s="1">
        <v>4</v>
      </c>
      <c r="Q2" s="1">
        <v>3.423</v>
      </c>
    </row>
    <row r="3" spans="1:17" x14ac:dyDescent="0.3">
      <c r="A3" s="3"/>
      <c r="B3" s="3"/>
      <c r="C3" s="3"/>
      <c r="D3" s="3"/>
      <c r="E3" s="3"/>
      <c r="F3" s="3"/>
      <c r="G3" s="1" t="s">
        <v>9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>
        <v>4</v>
      </c>
      <c r="Q3" s="1">
        <v>3.4180000000000001</v>
      </c>
    </row>
    <row r="4" spans="1:17" x14ac:dyDescent="0.3">
      <c r="A4" s="3"/>
      <c r="B4" s="3"/>
      <c r="C4" s="3"/>
      <c r="D4" s="3"/>
      <c r="E4" s="3"/>
      <c r="F4" s="3"/>
      <c r="G4" s="1" t="s">
        <v>10</v>
      </c>
      <c r="H4" s="1">
        <v>1</v>
      </c>
      <c r="I4" s="1">
        <v>1</v>
      </c>
      <c r="J4" s="1">
        <v>1</v>
      </c>
      <c r="L4" s="1">
        <v>1</v>
      </c>
      <c r="M4" s="1">
        <v>1</v>
      </c>
      <c r="N4" s="1">
        <v>1</v>
      </c>
      <c r="P4" s="1">
        <v>5</v>
      </c>
      <c r="Q4" s="1">
        <v>4.1592000000000002</v>
      </c>
    </row>
    <row r="5" spans="1:17" x14ac:dyDescent="0.3">
      <c r="A5" s="3"/>
      <c r="B5" s="3"/>
      <c r="C5" s="3"/>
      <c r="D5" s="3"/>
      <c r="E5" s="3"/>
      <c r="F5" s="3"/>
      <c r="G5" s="1" t="s">
        <v>11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P5" s="1">
        <v>7</v>
      </c>
      <c r="Q5" s="1">
        <v>6.0834999999999999</v>
      </c>
    </row>
    <row r="6" spans="1:17" x14ac:dyDescent="0.3">
      <c r="A6" s="2"/>
      <c r="B6" s="2"/>
      <c r="C6" s="2"/>
      <c r="D6" s="2"/>
      <c r="E6" s="2"/>
      <c r="F6" s="2"/>
      <c r="G6" s="2" t="s">
        <v>17</v>
      </c>
      <c r="H6" s="1">
        <v>1</v>
      </c>
      <c r="I6" s="1">
        <v>1</v>
      </c>
      <c r="J6" s="1">
        <v>1</v>
      </c>
      <c r="K6" s="2"/>
      <c r="L6" s="1">
        <v>1</v>
      </c>
      <c r="M6" s="1">
        <v>1</v>
      </c>
      <c r="N6" s="1">
        <v>1</v>
      </c>
      <c r="O6" s="2"/>
      <c r="P6" s="2">
        <f>SUM(P2:P5)</f>
        <v>20</v>
      </c>
      <c r="Q6" s="2">
        <f>SUM(Q2:Q5)</f>
        <v>17.0837</v>
      </c>
    </row>
    <row r="7" spans="1:17" x14ac:dyDescent="0.3">
      <c r="G7" s="2" t="s">
        <v>18</v>
      </c>
      <c r="H7" s="1">
        <v>1</v>
      </c>
      <c r="I7" s="1">
        <v>1</v>
      </c>
      <c r="J7" s="1">
        <v>1</v>
      </c>
      <c r="K7" s="2"/>
      <c r="L7" s="1">
        <v>1</v>
      </c>
      <c r="M7" s="1">
        <v>1</v>
      </c>
      <c r="N7" s="1">
        <v>1</v>
      </c>
    </row>
    <row r="9" spans="1:17" x14ac:dyDescent="0.3">
      <c r="A9" s="3" t="s">
        <v>13</v>
      </c>
      <c r="B9" s="3">
        <v>43</v>
      </c>
      <c r="C9" s="3">
        <v>2</v>
      </c>
      <c r="D9" s="3">
        <v>1</v>
      </c>
      <c r="E9" s="3">
        <v>1</v>
      </c>
      <c r="F9" s="3">
        <v>1</v>
      </c>
      <c r="G9" s="1" t="s">
        <v>8</v>
      </c>
      <c r="H9" s="1">
        <v>1</v>
      </c>
      <c r="I9" s="1">
        <v>1</v>
      </c>
      <c r="J9" s="1">
        <v>1</v>
      </c>
      <c r="L9" s="1">
        <v>1</v>
      </c>
      <c r="M9" s="1">
        <v>1</v>
      </c>
      <c r="N9" s="1">
        <v>1</v>
      </c>
      <c r="P9" s="1">
        <v>3</v>
      </c>
      <c r="Q9" s="1">
        <v>7.2453000000000003</v>
      </c>
    </row>
    <row r="10" spans="1:17" x14ac:dyDescent="0.3">
      <c r="A10" s="3"/>
      <c r="B10" s="3"/>
      <c r="C10" s="3"/>
      <c r="D10" s="3"/>
      <c r="E10" s="3"/>
      <c r="F10" s="3"/>
      <c r="G10" s="1" t="s">
        <v>9</v>
      </c>
      <c r="H10" s="1">
        <v>1</v>
      </c>
      <c r="I10" s="1">
        <v>1</v>
      </c>
      <c r="J10" s="1">
        <v>1</v>
      </c>
      <c r="L10" s="1">
        <v>1</v>
      </c>
      <c r="M10" s="1">
        <v>1</v>
      </c>
      <c r="N10" s="1">
        <v>1</v>
      </c>
      <c r="P10" s="1">
        <v>3</v>
      </c>
      <c r="Q10" s="1">
        <v>7.2807000000000004</v>
      </c>
    </row>
    <row r="11" spans="1:17" x14ac:dyDescent="0.3">
      <c r="A11" s="3"/>
      <c r="B11" s="3"/>
      <c r="C11" s="3"/>
      <c r="D11" s="3"/>
      <c r="E11" s="3"/>
      <c r="F11" s="3"/>
      <c r="G11" s="1" t="s">
        <v>10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P11" s="1">
        <v>4</v>
      </c>
      <c r="Q11" s="1">
        <v>8.0238999999999994</v>
      </c>
    </row>
    <row r="12" spans="1:17" x14ac:dyDescent="0.3">
      <c r="A12" s="3"/>
      <c r="B12" s="3"/>
      <c r="C12" s="3"/>
      <c r="D12" s="3"/>
      <c r="E12" s="3"/>
      <c r="F12" s="3"/>
      <c r="G12" s="1" t="s">
        <v>11</v>
      </c>
      <c r="H12" s="1">
        <v>1</v>
      </c>
      <c r="I12" s="1">
        <v>1</v>
      </c>
      <c r="J12" s="1">
        <v>1</v>
      </c>
      <c r="L12" s="1">
        <v>1</v>
      </c>
      <c r="M12" s="1">
        <v>1</v>
      </c>
      <c r="N12" s="1">
        <v>1</v>
      </c>
      <c r="P12" s="1">
        <v>4</v>
      </c>
      <c r="Q12" s="1">
        <v>8.1287000000000003</v>
      </c>
    </row>
    <row r="13" spans="1:17" x14ac:dyDescent="0.3">
      <c r="A13" s="2"/>
      <c r="B13" s="2"/>
      <c r="C13" s="2"/>
      <c r="D13" s="2"/>
      <c r="E13" s="2"/>
      <c r="F13" s="2"/>
      <c r="G13" s="2" t="s">
        <v>17</v>
      </c>
      <c r="H13" s="1">
        <v>1</v>
      </c>
      <c r="I13" s="1">
        <v>1</v>
      </c>
      <c r="J13" s="1">
        <v>1</v>
      </c>
      <c r="K13" s="2"/>
      <c r="L13" s="1">
        <v>1</v>
      </c>
      <c r="M13" s="1">
        <v>1</v>
      </c>
      <c r="N13" s="1">
        <v>1</v>
      </c>
      <c r="O13" s="2"/>
      <c r="P13" s="2">
        <f>SUM(P9:P12)</f>
        <v>14</v>
      </c>
      <c r="Q13" s="2">
        <f>SUM(Q9:Q12)</f>
        <v>30.678600000000003</v>
      </c>
    </row>
    <row r="14" spans="1:17" x14ac:dyDescent="0.3">
      <c r="G14" s="2" t="s">
        <v>18</v>
      </c>
      <c r="H14" s="1">
        <v>1</v>
      </c>
      <c r="I14" s="1">
        <v>1</v>
      </c>
      <c r="J14" s="1">
        <v>1</v>
      </c>
      <c r="K14" s="2"/>
      <c r="L14" s="1">
        <v>1</v>
      </c>
      <c r="M14" s="1">
        <v>1</v>
      </c>
      <c r="N14" s="1">
        <v>1</v>
      </c>
    </row>
    <row r="15" spans="1:17" x14ac:dyDescent="0.3">
      <c r="G15" s="2"/>
      <c r="H15" s="2"/>
      <c r="I15" s="2"/>
      <c r="J15" s="2"/>
      <c r="K15" s="2"/>
      <c r="L15" s="2"/>
      <c r="M15" s="2"/>
      <c r="N15" s="2"/>
    </row>
  </sheetData>
  <mergeCells count="12">
    <mergeCell ref="A9:A12"/>
    <mergeCell ref="B9:B12"/>
    <mergeCell ref="C9:C12"/>
    <mergeCell ref="D9:D12"/>
    <mergeCell ref="E9:E12"/>
    <mergeCell ref="F9:F12"/>
    <mergeCell ref="A2:A5"/>
    <mergeCell ref="B2:B5"/>
    <mergeCell ref="C2:C5"/>
    <mergeCell ref="D2:D5"/>
    <mergeCell ref="E2:E5"/>
    <mergeCell ref="F2:F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scoring shootout</vt:lpstr>
      <vt:lpstr>goalies shootout</vt:lpstr>
      <vt:lpstr>team vs team</vt:lpstr>
      <vt:lpstr>combined shutouts</vt:lpstr>
      <vt:lpstr>teams half</vt:lpstr>
      <vt:lpstr>teams post</vt:lpstr>
      <vt:lpstr>goalies</vt:lpstr>
      <vt:lpstr>team splits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2015-06-05T18:17:20Z</dcterms:created>
  <dcterms:modified xsi:type="dcterms:W3CDTF">2026-05-25T13:13:49Z</dcterms:modified>
</cp:coreProperties>
</file>